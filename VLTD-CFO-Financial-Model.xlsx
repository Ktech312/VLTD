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Pricing Strategy" sheetId="4" state="visible" r:id="rId4"/>
    <sheet xmlns:r="http://schemas.openxmlformats.org/officeDocument/2006/relationships" name="IP &amp; Domain" sheetId="5" state="visible" r:id="rId5"/>
    <sheet xmlns:r="http://schemas.openxmlformats.org/officeDocument/2006/relationships" name="Fundrai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;(0.0%);&quot;-&quot;"/>
    <numFmt numFmtId="166" formatCode="#,##0;(#,##0);&quot;-&quot;"/>
    <numFmt numFmtId="167" formatCode="$#,##0;($#,##0);&quot;-&quot;"/>
    <numFmt numFmtId="168" formatCode="0.0x"/>
  </numFmts>
  <fonts count="23">
    <font>
      <name val="Calibri"/>
      <family val="2"/>
      <color theme="1"/>
      <sz val="11"/>
      <scheme val="minor"/>
    </font>
    <font>
      <name val="Arial"/>
      <b val="1"/>
      <color rgb="FFF5B548"/>
      <sz val="28"/>
    </font>
    <font>
      <name val="Arial"/>
      <color rgb="FFFFFFFF"/>
      <sz val="14"/>
    </font>
    <font>
      <name val="Arial"/>
      <i val="1"/>
      <color rgb="FFA0A0A0"/>
      <sz val="10"/>
    </font>
    <font>
      <name val="Arial"/>
      <b val="1"/>
      <color rgb="FF000000"/>
      <sz val="9"/>
    </font>
    <font>
      <name val="Arial"/>
      <b val="1"/>
      <color rgb="FF000000"/>
      <sz val="10"/>
    </font>
    <font>
      <name val="Arial"/>
      <i val="1"/>
      <color rgb="FF555555"/>
      <sz val="9"/>
    </font>
    <font>
      <name val="Arial"/>
      <i val="1"/>
      <color rgb="FF888888"/>
      <sz val="8"/>
    </font>
    <font>
      <name val="Arial"/>
      <b val="1"/>
      <color rgb="FF000000"/>
      <sz val="14"/>
    </font>
    <font>
      <name val="Arial"/>
      <i val="1"/>
      <color rgb="FF888888"/>
      <sz val="9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FF"/>
      <sz val="10"/>
    </font>
    <font>
      <name val="Arial"/>
      <i val="1"/>
      <color rgb="FF666666"/>
      <sz val="9"/>
    </font>
    <font>
      <name val="Arial"/>
      <b val="1"/>
      <color rgb="FF000000"/>
      <sz val="13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10"/>
    </font>
    <font>
      <name val="Arial"/>
      <color rgb="FF000000"/>
      <sz val="9"/>
    </font>
    <font>
      <name val="Arial"/>
      <color rgb="FF0000FF"/>
      <sz val="9"/>
    </font>
    <font>
      <name val="Arial"/>
      <b val="1"/>
      <color rgb="FF0000FF"/>
      <sz val="9"/>
    </font>
    <font>
      <name val="Arial"/>
      <i val="1"/>
      <color rgb="FF666666"/>
      <sz val="8"/>
    </font>
  </fonts>
  <fills count="11">
    <fill>
      <patternFill/>
    </fill>
    <fill>
      <patternFill patternType="gray125"/>
    </fill>
    <fill>
      <patternFill patternType="solid">
        <fgColor rgb="FF0B1929"/>
      </patternFill>
    </fill>
    <fill>
      <patternFill patternType="solid">
        <fgColor rgb="FFF5F5F5"/>
      </patternFill>
    </fill>
    <fill>
      <patternFill patternType="solid">
        <fgColor rgb="FF1A2E45"/>
      </patternFill>
    </fill>
    <fill>
      <patternFill patternType="solid">
        <fgColor rgb="FFFFFF00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FFF0CC"/>
      </patternFill>
    </fill>
    <fill>
      <patternFill patternType="solid">
        <fgColor rgb="FF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5" borderId="0" applyAlignment="1" pivotButton="0" quotePrefix="0" xfId="0">
      <alignment horizontal="left" vertical="center"/>
    </xf>
    <xf numFmtId="164" fontId="12" fillId="5" borderId="0" applyAlignment="1" pivotButton="0" quotePrefix="0" xfId="0">
      <alignment horizontal="right" vertical="center"/>
    </xf>
    <xf numFmtId="0" fontId="13" fillId="0" borderId="0" pivotButton="0" quotePrefix="0" xfId="0"/>
    <xf numFmtId="0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right" vertical="center"/>
    </xf>
    <xf numFmtId="49" fontId="12" fillId="0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7" fontId="12" fillId="5" borderId="0" applyAlignment="1" pivotButton="0" quotePrefix="0" xfId="0">
      <alignment horizontal="right" vertical="center"/>
    </xf>
    <xf numFmtId="0" fontId="15" fillId="2" borderId="0" pivotButton="0" quotePrefix="0" xfId="0"/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8" fillId="4" borderId="0" pivotButton="0" quotePrefix="0" xfId="0"/>
    <xf numFmtId="0" fontId="19" fillId="0" borderId="0" pivotButton="0" quotePrefix="0" xfId="0"/>
    <xf numFmtId="166" fontId="20" fillId="6" borderId="0" applyAlignment="1" pivotButton="0" quotePrefix="0" xfId="0">
      <alignment horizontal="right" vertical="center"/>
    </xf>
    <xf numFmtId="166" fontId="20" fillId="7" borderId="0" applyAlignment="1" pivotButton="0" quotePrefix="0" xfId="0">
      <alignment horizontal="right" vertical="center"/>
    </xf>
    <xf numFmtId="0" fontId="19" fillId="6" borderId="0" pivotButton="0" quotePrefix="0" xfId="0"/>
    <xf numFmtId="166" fontId="19" fillId="6" borderId="0" applyAlignment="1" pivotButton="0" quotePrefix="0" xfId="0">
      <alignment horizontal="right" vertical="center"/>
    </xf>
    <xf numFmtId="166" fontId="19" fillId="7" borderId="0" applyAlignment="1" pivotButton="0" quotePrefix="0" xfId="0">
      <alignment horizontal="right" vertical="center"/>
    </xf>
    <xf numFmtId="167" fontId="19" fillId="6" borderId="0" applyAlignment="1" pivotButton="0" quotePrefix="0" xfId="0">
      <alignment horizontal="right" vertical="center"/>
    </xf>
    <xf numFmtId="167" fontId="19" fillId="7" borderId="0" applyAlignment="1" pivotButton="0" quotePrefix="0" xfId="0">
      <alignment horizontal="right" vertical="center"/>
    </xf>
    <xf numFmtId="164" fontId="19" fillId="6" borderId="0" applyAlignment="1" pivotButton="0" quotePrefix="0" xfId="0">
      <alignment horizontal="right" vertical="center"/>
    </xf>
    <xf numFmtId="164" fontId="19" fillId="7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7" fontId="4" fillId="7" borderId="0" applyAlignment="1" pivotButton="0" quotePrefix="0" xfId="0">
      <alignment horizontal="right" vertical="center"/>
    </xf>
    <xf numFmtId="165" fontId="19" fillId="6" borderId="0" applyAlignment="1" pivotButton="0" quotePrefix="0" xfId="0">
      <alignment horizontal="right" vertical="center"/>
    </xf>
    <xf numFmtId="165" fontId="19" fillId="7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14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164" fontId="20" fillId="6" borderId="0" applyAlignment="1" pivotButton="0" quotePrefix="0" xfId="0">
      <alignment horizontal="right" vertical="center"/>
    </xf>
    <xf numFmtId="164" fontId="21" fillId="9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16" fillId="4" borderId="0" pivotButton="0" quotePrefix="0" xfId="0"/>
    <xf numFmtId="166" fontId="20" fillId="0" borderId="0" applyAlignment="1" pivotButton="0" quotePrefix="0" xfId="0">
      <alignment horizontal="right" vertical="center"/>
    </xf>
    <xf numFmtId="166" fontId="21" fillId="9" borderId="0" applyAlignment="1" pivotButton="0" quotePrefix="0" xfId="0">
      <alignment horizontal="right" vertical="center"/>
    </xf>
    <xf numFmtId="167" fontId="20" fillId="6" borderId="0" applyAlignment="1" pivotButton="0" quotePrefix="0" xfId="0">
      <alignment horizontal="right" vertical="center"/>
    </xf>
    <xf numFmtId="167" fontId="21" fillId="9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4" fillId="10" borderId="0" pivotButton="0" quotePrefix="0" xfId="0"/>
    <xf numFmtId="167" fontId="4" fillId="10" borderId="0" applyAlignment="1" pivotButton="0" quotePrefix="0" xfId="0">
      <alignment horizontal="right" vertical="center"/>
    </xf>
    <xf numFmtId="0" fontId="18" fillId="8" borderId="0" pivotButton="0" quotePrefix="0" xfId="0"/>
    <xf numFmtId="0" fontId="0" fillId="8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11" fillId="5" borderId="0" pivotButton="0" quotePrefix="0" xfId="0"/>
    <xf numFmtId="0" fontId="11" fillId="0" borderId="0" pivotButton="0" quotePrefix="0" xfId="0"/>
    <xf numFmtId="167" fontId="11" fillId="0" borderId="0" applyAlignment="1" pivotButton="0" quotePrefix="0" xfId="0">
      <alignment horizontal="right" vertical="center"/>
    </xf>
    <xf numFmtId="0" fontId="11" fillId="6" borderId="0" pivotButton="0" quotePrefix="0" xfId="0"/>
    <xf numFmtId="167" fontId="11" fillId="6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49" fontId="11" fillId="6" borderId="0" applyAlignment="1" pivotButton="0" quotePrefix="0" xfId="0">
      <alignment horizontal="right" vertical="center"/>
    </xf>
    <xf numFmtId="167" fontId="19" fillId="0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8" fontId="12" fillId="5" borderId="0" applyAlignment="1" pivotButton="0" quotePrefix="0" xfId="0">
      <alignment horizontal="right" vertical="center"/>
    </xf>
    <xf numFmtId="49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 ht="30" customHeight="1">
      <c r="A3" s="1" t="n"/>
      <c r="B3" s="2" t="inlineStr">
        <is>
          <t>VLTD</t>
        </is>
      </c>
      <c r="C3" s="1" t="n"/>
      <c r="D3" s="1" t="n"/>
      <c r="E3" s="1" t="n"/>
    </row>
    <row r="4" ht="24" customHeight="1">
      <c r="A4" s="1" t="n"/>
      <c r="B4" s="3" t="inlineStr">
        <is>
          <t>Chief Financial Officer — Financial Model</t>
        </is>
      </c>
      <c r="C4" s="1" t="n"/>
      <c r="D4" s="1" t="n"/>
      <c r="E4" s="1" t="n"/>
    </row>
    <row r="5" ht="16" customHeight="1">
      <c r="A5" s="1" t="n"/>
      <c r="B5" s="1" t="n"/>
      <c r="C5" s="1" t="n"/>
      <c r="D5" s="1" t="n"/>
      <c r="E5" s="1" t="n"/>
    </row>
    <row r="6" ht="18" customHeight="1">
      <c r="A6" s="1" t="n"/>
      <c r="B6" s="4" t="inlineStr">
        <is>
          <t>Confidential · Pre-Launch · May 2026</t>
        </is>
      </c>
      <c r="C6" s="1" t="n"/>
      <c r="D6" s="1" t="n"/>
      <c r="E6" s="1" t="n"/>
    </row>
    <row r="7" ht="20" customHeight="1">
      <c r="A7" s="1" t="n"/>
      <c r="B7" s="1" t="n"/>
      <c r="C7" s="1" t="n"/>
      <c r="D7" s="1" t="n"/>
      <c r="E7" s="1" t="n"/>
    </row>
    <row r="9" ht="14" customHeight="1">
      <c r="B9" s="5" t="inlineStr">
        <is>
          <t>CONTENTS</t>
        </is>
      </c>
    </row>
    <row r="10" ht="20" customHeight="1">
      <c r="B10" s="6" t="inlineStr">
        <is>
          <t xml:space="preserve">  1.  Assumptions</t>
        </is>
      </c>
      <c r="C10" s="7" t="inlineStr">
        <is>
          <t>All model inputs — swap in real numbers here</t>
        </is>
      </c>
      <c r="D10" s="8" t="n"/>
    </row>
    <row r="11" ht="20" customHeight="1">
      <c r="B11" s="9" t="inlineStr">
        <is>
          <t xml:space="preserve">  2.  Financial Model</t>
        </is>
      </c>
      <c r="C11" s="10" t="inlineStr">
        <is>
          <t>36-month P&amp;L · Monthly detail, quarterly rollup</t>
        </is>
      </c>
    </row>
    <row r="12" ht="20" customHeight="1">
      <c r="B12" s="6" t="inlineStr">
        <is>
          <t xml:space="preserve">  3.  Pricing Strategy</t>
        </is>
      </c>
      <c r="C12" s="7" t="inlineStr">
        <is>
          <t>Three pricing scenarios with conversion and LTV analysis</t>
        </is>
      </c>
      <c r="D12" s="8" t="n"/>
    </row>
    <row r="13" ht="20" customHeight="1">
      <c r="B13" s="9" t="inlineStr">
        <is>
          <t xml:space="preserve">  4.  IP &amp; Domain</t>
        </is>
      </c>
      <c r="C13" s="10" t="inlineStr">
        <is>
          <t>VLTD.com acquisition + trademark filing budget</t>
        </is>
      </c>
    </row>
    <row r="14" ht="20" customHeight="1">
      <c r="B14" s="6" t="inlineStr">
        <is>
          <t xml:space="preserve">  5.  Fundraising</t>
        </is>
      </c>
      <c r="C14" s="7" t="inlineStr">
        <is>
          <t>Investor-ready metrics, use of funds, valuation range</t>
        </is>
      </c>
      <c r="D14" s="8" t="n"/>
    </row>
    <row r="16" ht="16" customHeight="1">
      <c r="B16" s="11" t="inlineStr">
        <is>
          <t>Blue cells = inputs you can change   |   Black cells = formulas   |   Yellow = key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22" customWidth="1" min="4" max="4"/>
    <col width="36" customWidth="1" min="5" max="5"/>
  </cols>
  <sheetData>
    <row r="2">
      <c r="B2" s="12" t="inlineStr">
        <is>
          <t>VLTD — CFO Model Assumptions</t>
        </is>
      </c>
    </row>
    <row r="3">
      <c r="B3" s="13" t="inlineStr">
        <is>
          <t>Update BLUE cells. All other tabs pull from here.</t>
        </is>
      </c>
    </row>
    <row r="5" ht="20" customHeight="1">
      <c r="B5" s="14" t="inlineStr">
        <is>
          <t>PRODUCT &amp; PRICING</t>
        </is>
      </c>
      <c r="C5" s="15" t="n"/>
      <c r="D5" s="15" t="n"/>
      <c r="E5" s="15" t="n"/>
    </row>
    <row r="6" ht="18" customHeight="1">
      <c r="B6" s="16" t="inlineStr">
        <is>
          <t>Paid tier monthly price</t>
        </is>
      </c>
      <c r="C6" s="17" t="n">
        <v>7.99</v>
      </c>
      <c r="E6" s="18" t="inlineStr">
        <is>
          <t>Primary scenario — see Pricing tab for alternatives</t>
        </is>
      </c>
    </row>
    <row r="7" ht="18" customHeight="1">
      <c r="B7" s="19" t="inlineStr">
        <is>
          <t>Annual plan discount</t>
        </is>
      </c>
      <c r="C7" s="20" t="n">
        <v>0.15</v>
      </c>
      <c r="E7" s="18" t="inlineStr">
        <is>
          <t>Annual price = monthly × 12 × (1 - discount)</t>
        </is>
      </c>
    </row>
    <row r="8" ht="18" customHeight="1">
      <c r="B8" s="19" t="inlineStr">
        <is>
          <t>% paid users on annual plan</t>
        </is>
      </c>
      <c r="C8" s="20" t="n">
        <v>0.3</v>
      </c>
      <c r="E8" s="18" t="inlineStr">
        <is>
          <t>Drives cash collection timing</t>
        </is>
      </c>
    </row>
    <row r="9" ht="18" customHeight="1">
      <c r="B9" s="19" t="inlineStr">
        <is>
          <t>Free tier</t>
        </is>
      </c>
      <c r="C9" s="21" t="inlineStr">
        <is>
          <t>Yes</t>
        </is>
      </c>
      <c r="E9" s="18" t="inlineStr">
        <is>
          <t>Free forever — collector-first positioning</t>
        </is>
      </c>
    </row>
    <row r="11" ht="20" customHeight="1">
      <c r="B11" s="14" t="inlineStr">
        <is>
          <t>USER GROWTH (ORGANIC — ZERO PAID ACQUISITION)</t>
        </is>
      </c>
      <c r="C11" s="15" t="n"/>
      <c r="D11" s="15" t="n"/>
      <c r="E11" s="15" t="n"/>
    </row>
    <row r="12" ht="18" customHeight="1">
      <c r="B12" s="19" t="inlineStr">
        <is>
          <t>Launch month</t>
        </is>
      </c>
      <c r="C12" s="21" t="inlineStr">
        <is>
          <t>Jun-26</t>
        </is>
      </c>
      <c r="E12" s="18" t="inlineStr">
        <is>
          <t>Source: VLTD roadmap May 2026</t>
        </is>
      </c>
    </row>
    <row r="13" ht="18" customHeight="1">
      <c r="B13" s="16" t="inlineStr">
        <is>
          <t>Y1 monthly new free user target</t>
        </is>
      </c>
      <c r="C13" s="22" t="n">
        <v>416</v>
      </c>
      <c r="E13" s="18" t="inlineStr">
        <is>
          <t>~5,000 cumulative by month 12 (conservative organic)</t>
        </is>
      </c>
    </row>
    <row r="14" ht="18" customHeight="1">
      <c r="B14" s="19" t="inlineStr">
        <is>
          <t>Y1 monthly growth acceleration</t>
        </is>
      </c>
      <c r="C14" s="20" t="n">
        <v>0.08</v>
      </c>
      <c r="E14" s="18" t="inlineStr">
        <is>
          <t>Month-over-month improvement in new signups</t>
        </is>
      </c>
    </row>
    <row r="15" ht="18" customHeight="1">
      <c r="B15" s="19" t="inlineStr">
        <is>
          <t>Y2 avg monthly new free users</t>
        </is>
      </c>
      <c r="C15" s="23" t="n">
        <v>900</v>
      </c>
      <c r="E15" s="18" t="inlineStr">
        <is>
          <t>Press coverage + word-of-mouth effect</t>
        </is>
      </c>
    </row>
    <row r="16" ht="18" customHeight="1">
      <c r="B16" s="19" t="inlineStr">
        <is>
          <t>Y3 avg monthly new free users</t>
        </is>
      </c>
      <c r="C16" s="23" t="n">
        <v>1800</v>
      </c>
      <c r="E16" s="18" t="inlineStr">
        <is>
          <t>Established brand, community growth</t>
        </is>
      </c>
    </row>
    <row r="18" ht="20" customHeight="1">
      <c r="B18" s="14" t="inlineStr">
        <is>
          <t>CONVERSION &amp; RETENTION</t>
        </is>
      </c>
      <c r="C18" s="15" t="n"/>
      <c r="D18" s="15" t="n"/>
      <c r="E18" s="15" t="n"/>
    </row>
    <row r="19" ht="18" customHeight="1">
      <c r="B19" s="16" t="inlineStr">
        <is>
          <t>Free-to-paid conversion rate</t>
        </is>
      </c>
      <c r="C19" s="24" t="n">
        <v>0.04</v>
      </c>
      <c r="E19" s="18" t="inlineStr">
        <is>
          <t>Industry benchmark: 2–8% for freemium consumer apps</t>
        </is>
      </c>
    </row>
    <row r="20" ht="18" customHeight="1">
      <c r="B20" s="19" t="inlineStr">
        <is>
          <t>Paid monthly churn rate</t>
        </is>
      </c>
      <c r="C20" s="20" t="n">
        <v>0.035</v>
      </c>
      <c r="E20" s="18" t="inlineStr">
        <is>
          <t>Collector apps: 3–5% monthly. Improve with annual plans.</t>
        </is>
      </c>
    </row>
    <row r="21" ht="18" customHeight="1">
      <c r="B21" s="19" t="inlineStr">
        <is>
          <t>Avg months to convert (free)</t>
        </is>
      </c>
      <c r="C21" s="23" t="n">
        <v>3</v>
      </c>
      <c r="E21" s="18" t="inlineStr">
        <is>
          <t>Lag between signup and upgrade decision</t>
        </is>
      </c>
    </row>
    <row r="23" ht="20" customHeight="1">
      <c r="B23" s="14" t="inlineStr">
        <is>
          <t>MONTHLY OPERATING COSTS ($)</t>
        </is>
      </c>
      <c r="C23" s="15" t="n"/>
      <c r="D23" s="15" t="n"/>
      <c r="E23" s="15" t="n"/>
    </row>
    <row r="24" ht="18" customHeight="1">
      <c r="B24" s="19" t="inlineStr">
        <is>
          <t>Supabase (DB + Auth + Storage)</t>
        </is>
      </c>
      <c r="C24" s="25" t="n">
        <v>25</v>
      </c>
      <c r="E24" s="18" t="inlineStr">
        <is>
          <t>Free up to 500MB; ~$25 Pro; ~$200 at scale</t>
        </is>
      </c>
    </row>
    <row r="25" ht="18" customHeight="1">
      <c r="B25" s="19" t="inlineStr">
        <is>
          <t>Vercel / hosting</t>
        </is>
      </c>
      <c r="C25" s="25" t="n">
        <v>20</v>
      </c>
      <c r="E25" s="18" t="inlineStr">
        <is>
          <t>Pro plan; scales with traffic</t>
        </is>
      </c>
    </row>
    <row r="26" ht="18" customHeight="1">
      <c r="B26" s="19" t="inlineStr">
        <is>
          <t>Domain registrations</t>
        </is>
      </c>
      <c r="C26" s="25" t="n">
        <v>2</v>
      </c>
      <c r="E26" s="18" t="inlineStr">
        <is>
          <t>vltd.app + misc (~$25/year amortized)</t>
        </is>
      </c>
    </row>
    <row r="27" ht="18" customHeight="1">
      <c r="B27" s="19" t="inlineStr">
        <is>
          <t>AI API costs (OpenAI/Anthropic)</t>
        </is>
      </c>
      <c r="C27" s="25" t="n">
        <v>50</v>
      </c>
      <c r="E27" s="18" t="inlineStr">
        <is>
          <t>Per scan AI calls; estimate 1,000 scans/mo at launch</t>
        </is>
      </c>
    </row>
    <row r="28" ht="18" customHeight="1">
      <c r="B28" s="16" t="inlineStr">
        <is>
          <t>Developer contractor</t>
        </is>
      </c>
      <c r="C28" s="26" t="n">
        <v>0</v>
      </c>
      <c r="E28" s="18" t="inlineStr">
        <is>
          <t>0 if solo; $2,000–$5,000/mo if hiring</t>
        </is>
      </c>
    </row>
    <row r="29" ht="18" customHeight="1">
      <c r="B29" s="19" t="inlineStr">
        <is>
          <t>Marketing / content tools</t>
        </is>
      </c>
      <c r="C29" s="25" t="n">
        <v>0</v>
      </c>
      <c r="E29" s="18" t="inlineStr">
        <is>
          <t>Organic only per plan; $0 until paid channel test</t>
        </is>
      </c>
    </row>
    <row r="30" ht="18" customHeight="1">
      <c r="B30" s="19" t="inlineStr">
        <is>
          <t>Legal / accounting</t>
        </is>
      </c>
      <c r="C30" s="25" t="n">
        <v>50</v>
      </c>
      <c r="E30" s="18" t="inlineStr">
        <is>
          <t>Monthly amortized (trademark, formation, etc.)</t>
        </is>
      </c>
    </row>
    <row r="31" ht="18" customHeight="1">
      <c r="B31" s="19" t="inlineStr">
        <is>
          <t>Miscellaneous / buffer</t>
        </is>
      </c>
      <c r="C31" s="25" t="n">
        <v>50</v>
      </c>
      <c r="E31" s="18" t="inlineStr">
        <is>
          <t>App Store fees, tools, misc</t>
        </is>
      </c>
    </row>
    <row r="33" ht="20" customHeight="1">
      <c r="B33" s="14" t="inlineStr">
        <is>
          <t>ONE-TIME / STARTUP COSTS ($)</t>
        </is>
      </c>
      <c r="C33" s="15" t="n"/>
      <c r="D33" s="15" t="n"/>
      <c r="E33" s="15" t="n"/>
    </row>
    <row r="34" ht="18" customHeight="1">
      <c r="B34" s="19" t="inlineStr">
        <is>
          <t>USPTO trademark filing — VLTD</t>
        </is>
      </c>
      <c r="C34" s="25" t="n">
        <v>350</v>
      </c>
      <c r="E34" s="18" t="inlineStr">
        <is>
          <t>TEAS Plus per class; 2 classes (software + retail) = $700</t>
        </is>
      </c>
    </row>
    <row r="35" ht="18" customHeight="1">
      <c r="B35" s="19" t="inlineStr">
        <is>
          <t>Trademark attorney (optional)</t>
        </is>
      </c>
      <c r="C35" s="25" t="n">
        <v>1500</v>
      </c>
      <c r="E35" s="18" t="inlineStr">
        <is>
          <t>Full-service filing; reduces risk of rejection</t>
        </is>
      </c>
    </row>
    <row r="36" ht="18" customHeight="1">
      <c r="B36" s="16" t="inlineStr">
        <is>
          <t>VLTD.com domain acquisition</t>
        </is>
      </c>
      <c r="C36" s="26" t="n">
        <v>2500</v>
      </c>
      <c r="E36" s="18" t="inlineStr">
        <is>
          <t>Budget assumption — negotiate from here</t>
        </is>
      </c>
    </row>
    <row r="37" ht="18" customHeight="1">
      <c r="B37" s="19" t="inlineStr">
        <is>
          <t>LLC / Corp formation</t>
        </is>
      </c>
      <c r="C37" s="25" t="n">
        <v>500</v>
      </c>
      <c r="E37" s="18" t="inlineStr">
        <is>
          <t>Delaware C-Corp recommended if raising</t>
        </is>
      </c>
    </row>
    <row r="39" ht="20" customHeight="1">
      <c r="B39" s="14" t="inlineStr">
        <is>
          <t>FUNDRAISING (IF APPLICABLE)</t>
        </is>
      </c>
      <c r="C39" s="15" t="n"/>
      <c r="D39" s="15" t="n"/>
      <c r="E39" s="15" t="n"/>
    </row>
    <row r="40" ht="18" customHeight="1">
      <c r="B40" s="16" t="inlineStr">
        <is>
          <t>Target raise (pre-seed)</t>
        </is>
      </c>
      <c r="C40" s="26" t="n">
        <v>250000</v>
      </c>
      <c r="E40" s="18" t="inlineStr">
        <is>
          <t>Enough for 18–24 months runway + dev hire</t>
        </is>
      </c>
    </row>
    <row r="41" ht="18" customHeight="1">
      <c r="B41" s="19" t="inlineStr">
        <is>
          <t>Pre-money valuation target</t>
        </is>
      </c>
      <c r="C41" s="25" t="n">
        <v>1500000</v>
      </c>
      <c r="E41" s="18" t="inlineStr">
        <is>
          <t>5–7x ARR at 12-month forward run rate</t>
        </is>
      </c>
    </row>
    <row r="42" ht="18" customHeight="1">
      <c r="B42" s="19" t="inlineStr">
        <is>
          <t>Equity given at pre-seed</t>
        </is>
      </c>
      <c r="C42" s="20" t="n">
        <v>0.143</v>
      </c>
      <c r="E42" s="18">
        <f>$250K / $1.75M post = 14.3%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 ht="22" customHeight="1">
      <c r="A1" s="27" t="inlineStr">
        <is>
          <t>VLTD — 36-Month Financial Model</t>
        </is>
      </c>
    </row>
    <row r="2" ht="16" customHeight="1">
      <c r="C2" s="28" t="inlineStr">
        <is>
          <t>Year 1 (Jun '26–May '27)</t>
        </is>
      </c>
      <c r="O2" s="28" t="inlineStr">
        <is>
          <t>Year 2 (Jun '27–May '28)</t>
        </is>
      </c>
      <c r="AA2" s="28" t="inlineStr">
        <is>
          <t>Year 3 (Jun '28–May '29)</t>
        </is>
      </c>
    </row>
    <row r="3" ht="18" customHeight="1">
      <c r="A3" s="15" t="inlineStr"/>
      <c r="C3" s="29" t="inlineStr">
        <is>
          <t>Jun-26</t>
        </is>
      </c>
      <c r="D3" s="29" t="inlineStr">
        <is>
          <t>Jul-26</t>
        </is>
      </c>
      <c r="E3" s="29" t="inlineStr">
        <is>
          <t>Aug-26</t>
        </is>
      </c>
      <c r="F3" s="29" t="inlineStr">
        <is>
          <t>Sep-26</t>
        </is>
      </c>
      <c r="G3" s="29" t="inlineStr">
        <is>
          <t>Oct-26</t>
        </is>
      </c>
      <c r="H3" s="29" t="inlineStr">
        <is>
          <t>Nov-26</t>
        </is>
      </c>
      <c r="I3" s="29" t="inlineStr">
        <is>
          <t>Dec-26</t>
        </is>
      </c>
      <c r="J3" s="29" t="inlineStr">
        <is>
          <t>Jan-27</t>
        </is>
      </c>
      <c r="K3" s="29" t="inlineStr">
        <is>
          <t>Feb-27</t>
        </is>
      </c>
      <c r="L3" s="29" t="inlineStr">
        <is>
          <t>Mar-27</t>
        </is>
      </c>
      <c r="M3" s="29" t="inlineStr">
        <is>
          <t>Apr-27</t>
        </is>
      </c>
      <c r="N3" s="29" t="inlineStr">
        <is>
          <t>May-27</t>
        </is>
      </c>
      <c r="O3" s="29" t="inlineStr">
        <is>
          <t>Jun-27</t>
        </is>
      </c>
      <c r="P3" s="29" t="inlineStr">
        <is>
          <t>Jul-27</t>
        </is>
      </c>
      <c r="Q3" s="29" t="inlineStr">
        <is>
          <t>Aug-27</t>
        </is>
      </c>
      <c r="R3" s="29" t="inlineStr">
        <is>
          <t>Sep-27</t>
        </is>
      </c>
      <c r="S3" s="29" t="inlineStr">
        <is>
          <t>Oct-27</t>
        </is>
      </c>
      <c r="T3" s="29" t="inlineStr">
        <is>
          <t>Nov-27</t>
        </is>
      </c>
      <c r="U3" s="29" t="inlineStr">
        <is>
          <t>Dec-27</t>
        </is>
      </c>
      <c r="V3" s="29" t="inlineStr">
        <is>
          <t>Jan-28</t>
        </is>
      </c>
      <c r="W3" s="29" t="inlineStr">
        <is>
          <t>Feb-28</t>
        </is>
      </c>
      <c r="X3" s="29" t="inlineStr">
        <is>
          <t>Mar-28</t>
        </is>
      </c>
      <c r="Y3" s="29" t="inlineStr">
        <is>
          <t>Apr-28</t>
        </is>
      </c>
      <c r="Z3" s="29" t="inlineStr">
        <is>
          <t>May-28</t>
        </is>
      </c>
      <c r="AA3" s="29" t="inlineStr">
        <is>
          <t>Jun-28</t>
        </is>
      </c>
      <c r="AB3" s="29" t="inlineStr">
        <is>
          <t>Jul-28</t>
        </is>
      </c>
      <c r="AC3" s="29" t="inlineStr">
        <is>
          <t>Aug-28</t>
        </is>
      </c>
      <c r="AD3" s="29" t="inlineStr">
        <is>
          <t>Sep-28</t>
        </is>
      </c>
      <c r="AE3" s="29" t="inlineStr">
        <is>
          <t>Oct-28</t>
        </is>
      </c>
      <c r="AF3" s="29" t="inlineStr">
        <is>
          <t>Nov-28</t>
        </is>
      </c>
      <c r="AG3" s="29" t="inlineStr">
        <is>
          <t>Dec-28</t>
        </is>
      </c>
      <c r="AH3" s="29" t="inlineStr">
        <is>
          <t>Jan-29</t>
        </is>
      </c>
      <c r="AI3" s="29" t="inlineStr">
        <is>
          <t>Feb-29</t>
        </is>
      </c>
      <c r="AJ3" s="29" t="inlineStr">
        <is>
          <t>Mar-29</t>
        </is>
      </c>
      <c r="AK3" s="29" t="inlineStr">
        <is>
          <t>Apr-29</t>
        </is>
      </c>
      <c r="AL3" s="29" t="inlineStr">
        <is>
          <t>May-29</t>
        </is>
      </c>
    </row>
    <row r="4" ht="17" customHeight="1">
      <c r="A4" s="30" t="inlineStr">
        <is>
          <t>USERS</t>
        </is>
      </c>
      <c r="B4" s="15" t="n"/>
    </row>
    <row r="5" ht="17" customHeight="1">
      <c r="A5" s="31" t="inlineStr">
        <is>
          <t xml:space="preserve">  New free signups (monthly)</t>
        </is>
      </c>
      <c r="C5" s="32" t="n">
        <v>200</v>
      </c>
      <c r="D5" s="33" t="n">
        <v>216</v>
      </c>
      <c r="E5" s="32" t="n">
        <v>233</v>
      </c>
      <c r="F5" s="33" t="n">
        <v>251</v>
      </c>
      <c r="G5" s="32" t="n">
        <v>272</v>
      </c>
      <c r="H5" s="33" t="n">
        <v>293</v>
      </c>
      <c r="I5" s="32" t="n">
        <v>317</v>
      </c>
      <c r="J5" s="33" t="n">
        <v>342</v>
      </c>
      <c r="K5" s="32" t="n">
        <v>370</v>
      </c>
      <c r="L5" s="33" t="n">
        <v>399</v>
      </c>
      <c r="M5" s="32" t="n">
        <v>431</v>
      </c>
      <c r="N5" s="33" t="n">
        <v>466</v>
      </c>
      <c r="O5" s="32" t="n">
        <v>900</v>
      </c>
      <c r="P5" s="33" t="n">
        <v>900</v>
      </c>
      <c r="Q5" s="32" t="n">
        <v>900</v>
      </c>
      <c r="R5" s="33" t="n">
        <v>900</v>
      </c>
      <c r="S5" s="32" t="n">
        <v>900</v>
      </c>
      <c r="T5" s="33" t="n">
        <v>900</v>
      </c>
      <c r="U5" s="32" t="n">
        <v>900</v>
      </c>
      <c r="V5" s="33" t="n">
        <v>900</v>
      </c>
      <c r="W5" s="32" t="n">
        <v>900</v>
      </c>
      <c r="X5" s="33" t="n">
        <v>900</v>
      </c>
      <c r="Y5" s="32" t="n">
        <v>900</v>
      </c>
      <c r="Z5" s="33" t="n">
        <v>900</v>
      </c>
      <c r="AA5" s="32" t="n">
        <v>1800</v>
      </c>
      <c r="AB5" s="33" t="n">
        <v>1800</v>
      </c>
      <c r="AC5" s="32" t="n">
        <v>1800</v>
      </c>
      <c r="AD5" s="33" t="n">
        <v>1800</v>
      </c>
      <c r="AE5" s="32" t="n">
        <v>1800</v>
      </c>
      <c r="AF5" s="33" t="n">
        <v>1800</v>
      </c>
      <c r="AG5" s="32" t="n">
        <v>1800</v>
      </c>
      <c r="AH5" s="33" t="n">
        <v>1800</v>
      </c>
      <c r="AI5" s="32" t="n">
        <v>1800</v>
      </c>
      <c r="AJ5" s="33" t="n">
        <v>1800</v>
      </c>
      <c r="AK5" s="32" t="n">
        <v>1800</v>
      </c>
      <c r="AL5" s="33" t="n">
        <v>1800</v>
      </c>
    </row>
    <row r="6" ht="17" customHeight="1">
      <c r="A6" s="34" t="inlineStr">
        <is>
          <t xml:space="preserve">  Cumulative free users</t>
        </is>
      </c>
      <c r="C6" s="35">
        <f>C5</f>
        <v/>
      </c>
      <c r="D6" s="36">
        <f>C6+D5</f>
        <v/>
      </c>
      <c r="E6" s="35">
        <f>D6+E5</f>
        <v/>
      </c>
      <c r="F6" s="36">
        <f>E6+F5</f>
        <v/>
      </c>
      <c r="G6" s="35">
        <f>F6+G5</f>
        <v/>
      </c>
      <c r="H6" s="36">
        <f>G6+H5</f>
        <v/>
      </c>
      <c r="I6" s="35">
        <f>H6+I5</f>
        <v/>
      </c>
      <c r="J6" s="36">
        <f>I6+J5</f>
        <v/>
      </c>
      <c r="K6" s="35">
        <f>J6+K5</f>
        <v/>
      </c>
      <c r="L6" s="36">
        <f>K6+L5</f>
        <v/>
      </c>
      <c r="M6" s="35">
        <f>L6+M5</f>
        <v/>
      </c>
      <c r="N6" s="36">
        <f>M6+N5</f>
        <v/>
      </c>
      <c r="O6" s="35">
        <f>N6+O5</f>
        <v/>
      </c>
      <c r="P6" s="36">
        <f>O6+P5</f>
        <v/>
      </c>
      <c r="Q6" s="35">
        <f>P6+Q5</f>
        <v/>
      </c>
      <c r="R6" s="36">
        <f>Q6+R5</f>
        <v/>
      </c>
      <c r="S6" s="35">
        <f>R6+S5</f>
        <v/>
      </c>
      <c r="T6" s="36">
        <f>S6+T5</f>
        <v/>
      </c>
      <c r="U6" s="35">
        <f>T6+U5</f>
        <v/>
      </c>
      <c r="V6" s="36">
        <f>U6+V5</f>
        <v/>
      </c>
      <c r="W6" s="35">
        <f>V6+W5</f>
        <v/>
      </c>
      <c r="X6" s="36">
        <f>W6+X5</f>
        <v/>
      </c>
      <c r="Y6" s="35">
        <f>X6+Y5</f>
        <v/>
      </c>
      <c r="Z6" s="36">
        <f>Y6+Z5</f>
        <v/>
      </c>
      <c r="AA6" s="35">
        <f>Z6+AA5</f>
        <v/>
      </c>
      <c r="AB6" s="36">
        <f>AA6+AB5</f>
        <v/>
      </c>
      <c r="AC6" s="35">
        <f>AB6+AC5</f>
        <v/>
      </c>
      <c r="AD6" s="36">
        <f>AC6+AD5</f>
        <v/>
      </c>
      <c r="AE6" s="35">
        <f>AD6+AE5</f>
        <v/>
      </c>
      <c r="AF6" s="36">
        <f>AE6+AF5</f>
        <v/>
      </c>
      <c r="AG6" s="35">
        <f>AF6+AG5</f>
        <v/>
      </c>
      <c r="AH6" s="36">
        <f>AG6+AH5</f>
        <v/>
      </c>
      <c r="AI6" s="35">
        <f>AH6+AI5</f>
        <v/>
      </c>
      <c r="AJ6" s="36">
        <f>AI6+AJ5</f>
        <v/>
      </c>
      <c r="AK6" s="35">
        <f>AJ6+AK5</f>
        <v/>
      </c>
      <c r="AL6" s="36">
        <f>AK6+AL5</f>
        <v/>
      </c>
    </row>
    <row r="7" ht="17" customHeight="1">
      <c r="A7" s="31" t="inlineStr">
        <is>
          <t xml:space="preserve">  New paid conversions</t>
        </is>
      </c>
      <c r="C7" s="35">
        <f>ROUND(C5*Assumptions!$C$25,0)</f>
        <v/>
      </c>
      <c r="D7" s="36">
        <f>ROUND(D5*Assumptions!$C$25,0)</f>
        <v/>
      </c>
      <c r="E7" s="35">
        <f>ROUND(E5*Assumptions!$C$25,0)</f>
        <v/>
      </c>
      <c r="F7" s="36">
        <f>ROUND(F5*Assumptions!$C$25,0)</f>
        <v/>
      </c>
      <c r="G7" s="35">
        <f>ROUND(G5*Assumptions!$C$25,0)</f>
        <v/>
      </c>
      <c r="H7" s="36">
        <f>ROUND(H5*Assumptions!$C$25,0)</f>
        <v/>
      </c>
      <c r="I7" s="35">
        <f>ROUND(I5*Assumptions!$C$25,0)</f>
        <v/>
      </c>
      <c r="J7" s="36">
        <f>ROUND(J5*Assumptions!$C$25,0)</f>
        <v/>
      </c>
      <c r="K7" s="35">
        <f>ROUND(K5*Assumptions!$C$25,0)</f>
        <v/>
      </c>
      <c r="L7" s="36">
        <f>ROUND(L5*Assumptions!$C$25,0)</f>
        <v/>
      </c>
      <c r="M7" s="35">
        <f>ROUND(M5*Assumptions!$C$25,0)</f>
        <v/>
      </c>
      <c r="N7" s="36">
        <f>ROUND(N5*Assumptions!$C$25,0)</f>
        <v/>
      </c>
      <c r="O7" s="35">
        <f>ROUND(O5*Assumptions!$C$25,0)</f>
        <v/>
      </c>
      <c r="P7" s="36">
        <f>ROUND(P5*Assumptions!$C$25,0)</f>
        <v/>
      </c>
      <c r="Q7" s="35">
        <f>ROUND(Q5*Assumptions!$C$25,0)</f>
        <v/>
      </c>
      <c r="R7" s="36">
        <f>ROUND(R5*Assumptions!$C$25,0)</f>
        <v/>
      </c>
      <c r="S7" s="35">
        <f>ROUND(S5*Assumptions!$C$25,0)</f>
        <v/>
      </c>
      <c r="T7" s="36">
        <f>ROUND(T5*Assumptions!$C$25,0)</f>
        <v/>
      </c>
      <c r="U7" s="35">
        <f>ROUND(U5*Assumptions!$C$25,0)</f>
        <v/>
      </c>
      <c r="V7" s="36">
        <f>ROUND(V5*Assumptions!$C$25,0)</f>
        <v/>
      </c>
      <c r="W7" s="35">
        <f>ROUND(W5*Assumptions!$C$25,0)</f>
        <v/>
      </c>
      <c r="X7" s="36">
        <f>ROUND(X5*Assumptions!$C$25,0)</f>
        <v/>
      </c>
      <c r="Y7" s="35">
        <f>ROUND(Y5*Assumptions!$C$25,0)</f>
        <v/>
      </c>
      <c r="Z7" s="36">
        <f>ROUND(Z5*Assumptions!$C$25,0)</f>
        <v/>
      </c>
      <c r="AA7" s="35">
        <f>ROUND(AA5*Assumptions!$C$25,0)</f>
        <v/>
      </c>
      <c r="AB7" s="36">
        <f>ROUND(AB5*Assumptions!$C$25,0)</f>
        <v/>
      </c>
      <c r="AC7" s="35">
        <f>ROUND(AC5*Assumptions!$C$25,0)</f>
        <v/>
      </c>
      <c r="AD7" s="36">
        <f>ROUND(AD5*Assumptions!$C$25,0)</f>
        <v/>
      </c>
      <c r="AE7" s="35">
        <f>ROUND(AE5*Assumptions!$C$25,0)</f>
        <v/>
      </c>
      <c r="AF7" s="36">
        <f>ROUND(AF5*Assumptions!$C$25,0)</f>
        <v/>
      </c>
      <c r="AG7" s="35">
        <f>ROUND(AG5*Assumptions!$C$25,0)</f>
        <v/>
      </c>
      <c r="AH7" s="36">
        <f>ROUND(AH5*Assumptions!$C$25,0)</f>
        <v/>
      </c>
      <c r="AI7" s="35">
        <f>ROUND(AI5*Assumptions!$C$25,0)</f>
        <v/>
      </c>
      <c r="AJ7" s="36">
        <f>ROUND(AJ5*Assumptions!$C$25,0)</f>
        <v/>
      </c>
      <c r="AK7" s="35">
        <f>ROUND(AK5*Assumptions!$C$25,0)</f>
        <v/>
      </c>
      <c r="AL7" s="36">
        <f>ROUND(AL5*Assumptions!$C$25,0)</f>
        <v/>
      </c>
    </row>
    <row r="8" ht="17" customHeight="1">
      <c r="A8" s="34" t="inlineStr">
        <is>
          <t xml:space="preserve">  Churned paid users</t>
        </is>
      </c>
      <c r="C8" s="35">
        <f>ROUND(C7*Assumptions!$C$26,0)</f>
        <v/>
      </c>
      <c r="D8" s="36">
        <f>ROUND(C9*Assumptions!$C$26,0)</f>
        <v/>
      </c>
      <c r="E8" s="35">
        <f>ROUND(D9*Assumptions!$C$26,0)</f>
        <v/>
      </c>
      <c r="F8" s="36">
        <f>ROUND(E9*Assumptions!$C$26,0)</f>
        <v/>
      </c>
      <c r="G8" s="35">
        <f>ROUND(F9*Assumptions!$C$26,0)</f>
        <v/>
      </c>
      <c r="H8" s="36">
        <f>ROUND(G9*Assumptions!$C$26,0)</f>
        <v/>
      </c>
      <c r="I8" s="35">
        <f>ROUND(H9*Assumptions!$C$26,0)</f>
        <v/>
      </c>
      <c r="J8" s="36">
        <f>ROUND(I9*Assumptions!$C$26,0)</f>
        <v/>
      </c>
      <c r="K8" s="35">
        <f>ROUND(J9*Assumptions!$C$26,0)</f>
        <v/>
      </c>
      <c r="L8" s="36">
        <f>ROUND(K9*Assumptions!$C$26,0)</f>
        <v/>
      </c>
      <c r="M8" s="35">
        <f>ROUND(L9*Assumptions!$C$26,0)</f>
        <v/>
      </c>
      <c r="N8" s="36">
        <f>ROUND(M9*Assumptions!$C$26,0)</f>
        <v/>
      </c>
      <c r="O8" s="35">
        <f>ROUND(N9*Assumptions!$C$26,0)</f>
        <v/>
      </c>
      <c r="P8" s="36">
        <f>ROUND(O9*Assumptions!$C$26,0)</f>
        <v/>
      </c>
      <c r="Q8" s="35">
        <f>ROUND(P9*Assumptions!$C$26,0)</f>
        <v/>
      </c>
      <c r="R8" s="36">
        <f>ROUND(Q9*Assumptions!$C$26,0)</f>
        <v/>
      </c>
      <c r="S8" s="35">
        <f>ROUND(R9*Assumptions!$C$26,0)</f>
        <v/>
      </c>
      <c r="T8" s="36">
        <f>ROUND(S9*Assumptions!$C$26,0)</f>
        <v/>
      </c>
      <c r="U8" s="35">
        <f>ROUND(T9*Assumptions!$C$26,0)</f>
        <v/>
      </c>
      <c r="V8" s="36">
        <f>ROUND(U9*Assumptions!$C$26,0)</f>
        <v/>
      </c>
      <c r="W8" s="35">
        <f>ROUND(V9*Assumptions!$C$26,0)</f>
        <v/>
      </c>
      <c r="X8" s="36">
        <f>ROUND(W9*Assumptions!$C$26,0)</f>
        <v/>
      </c>
      <c r="Y8" s="35">
        <f>ROUND(X9*Assumptions!$C$26,0)</f>
        <v/>
      </c>
      <c r="Z8" s="36">
        <f>ROUND(Y9*Assumptions!$C$26,0)</f>
        <v/>
      </c>
      <c r="AA8" s="35">
        <f>ROUND(Z9*Assumptions!$C$26,0)</f>
        <v/>
      </c>
      <c r="AB8" s="36">
        <f>ROUND(AA9*Assumptions!$C$26,0)</f>
        <v/>
      </c>
      <c r="AC8" s="35">
        <f>ROUND(AB9*Assumptions!$C$26,0)</f>
        <v/>
      </c>
      <c r="AD8" s="36">
        <f>ROUND(AC9*Assumptions!$C$26,0)</f>
        <v/>
      </c>
      <c r="AE8" s="35">
        <f>ROUND(AD9*Assumptions!$C$26,0)</f>
        <v/>
      </c>
      <c r="AF8" s="36">
        <f>ROUND(AE9*Assumptions!$C$26,0)</f>
        <v/>
      </c>
      <c r="AG8" s="35">
        <f>ROUND(AF9*Assumptions!$C$26,0)</f>
        <v/>
      </c>
      <c r="AH8" s="36">
        <f>ROUND(AG9*Assumptions!$C$26,0)</f>
        <v/>
      </c>
      <c r="AI8" s="35">
        <f>ROUND(AH9*Assumptions!$C$26,0)</f>
        <v/>
      </c>
      <c r="AJ8" s="36">
        <f>ROUND(AI9*Assumptions!$C$26,0)</f>
        <v/>
      </c>
      <c r="AK8" s="35">
        <f>ROUND(AJ9*Assumptions!$C$26,0)</f>
        <v/>
      </c>
      <c r="AL8" s="36">
        <f>ROUND(AK9*Assumptions!$C$26,0)</f>
        <v/>
      </c>
    </row>
    <row r="9" ht="17" customHeight="1">
      <c r="A9" s="31" t="inlineStr">
        <is>
          <t xml:space="preserve">  Net paid users (EOP)</t>
        </is>
      </c>
      <c r="C9" s="35">
        <f>C7-C8</f>
        <v/>
      </c>
      <c r="D9" s="36">
        <f>C9+D7-D8</f>
        <v/>
      </c>
      <c r="E9" s="35">
        <f>D9+E7-E8</f>
        <v/>
      </c>
      <c r="F9" s="36">
        <f>E9+F7-F8</f>
        <v/>
      </c>
      <c r="G9" s="35">
        <f>F9+G7-G8</f>
        <v/>
      </c>
      <c r="H9" s="36">
        <f>G9+H7-H8</f>
        <v/>
      </c>
      <c r="I9" s="35">
        <f>H9+I7-I8</f>
        <v/>
      </c>
      <c r="J9" s="36">
        <f>I9+J7-J8</f>
        <v/>
      </c>
      <c r="K9" s="35">
        <f>J9+K7-K8</f>
        <v/>
      </c>
      <c r="L9" s="36">
        <f>K9+L7-L8</f>
        <v/>
      </c>
      <c r="M9" s="35">
        <f>L9+M7-M8</f>
        <v/>
      </c>
      <c r="N9" s="36">
        <f>M9+N7-N8</f>
        <v/>
      </c>
      <c r="O9" s="35">
        <f>N9+O7-O8</f>
        <v/>
      </c>
      <c r="P9" s="36">
        <f>O9+P7-P8</f>
        <v/>
      </c>
      <c r="Q9" s="35">
        <f>P9+Q7-Q8</f>
        <v/>
      </c>
      <c r="R9" s="36">
        <f>Q9+R7-R8</f>
        <v/>
      </c>
      <c r="S9" s="35">
        <f>R9+S7-S8</f>
        <v/>
      </c>
      <c r="T9" s="36">
        <f>S9+T7-T8</f>
        <v/>
      </c>
      <c r="U9" s="35">
        <f>T9+U7-U8</f>
        <v/>
      </c>
      <c r="V9" s="36">
        <f>U9+V7-V8</f>
        <v/>
      </c>
      <c r="W9" s="35">
        <f>V9+W7-W8</f>
        <v/>
      </c>
      <c r="X9" s="36">
        <f>W9+X7-X8</f>
        <v/>
      </c>
      <c r="Y9" s="35">
        <f>X9+Y7-Y8</f>
        <v/>
      </c>
      <c r="Z9" s="36">
        <f>Y9+Z7-Z8</f>
        <v/>
      </c>
      <c r="AA9" s="35">
        <f>Z9+AA7-AA8</f>
        <v/>
      </c>
      <c r="AB9" s="36">
        <f>AA9+AB7-AB8</f>
        <v/>
      </c>
      <c r="AC9" s="35">
        <f>AB9+AC7-AC8</f>
        <v/>
      </c>
      <c r="AD9" s="36">
        <f>AC9+AD7-AD8</f>
        <v/>
      </c>
      <c r="AE9" s="35">
        <f>AD9+AE7-AE8</f>
        <v/>
      </c>
      <c r="AF9" s="36">
        <f>AE9+AF7-AF8</f>
        <v/>
      </c>
      <c r="AG9" s="35">
        <f>AF9+AG7-AG8</f>
        <v/>
      </c>
      <c r="AH9" s="36">
        <f>AG9+AH7-AH8</f>
        <v/>
      </c>
      <c r="AI9" s="35">
        <f>AH9+AI7-AI8</f>
        <v/>
      </c>
      <c r="AJ9" s="36">
        <f>AI9+AJ7-AJ8</f>
        <v/>
      </c>
      <c r="AK9" s="35">
        <f>AJ9+AK7-AK8</f>
        <v/>
      </c>
      <c r="AL9" s="36">
        <f>AK9+AL7-AL8</f>
        <v/>
      </c>
    </row>
    <row r="10" ht="6" customHeight="1"/>
    <row r="11" ht="17" customHeight="1">
      <c r="A11" s="30" t="inlineStr">
        <is>
          <t>REVENUE</t>
        </is>
      </c>
      <c r="B11" s="15" t="n"/>
    </row>
    <row r="12" ht="17" customHeight="1">
      <c r="A12" s="34" t="inlineStr">
        <is>
          <t xml:space="preserve">  Monthly Recurring Revenue (MRR)</t>
        </is>
      </c>
      <c r="C12" s="37">
        <f>C9*Assumptions!$C$7</f>
        <v/>
      </c>
      <c r="D12" s="38">
        <f>D9*Assumptions!$C$7</f>
        <v/>
      </c>
      <c r="E12" s="37">
        <f>E9*Assumptions!$C$7</f>
        <v/>
      </c>
      <c r="F12" s="38">
        <f>F9*Assumptions!$C$7</f>
        <v/>
      </c>
      <c r="G12" s="37">
        <f>G9*Assumptions!$C$7</f>
        <v/>
      </c>
      <c r="H12" s="38">
        <f>H9*Assumptions!$C$7</f>
        <v/>
      </c>
      <c r="I12" s="37">
        <f>I9*Assumptions!$C$7</f>
        <v/>
      </c>
      <c r="J12" s="38">
        <f>J9*Assumptions!$C$7</f>
        <v/>
      </c>
      <c r="K12" s="37">
        <f>K9*Assumptions!$C$7</f>
        <v/>
      </c>
      <c r="L12" s="38">
        <f>L9*Assumptions!$C$7</f>
        <v/>
      </c>
      <c r="M12" s="37">
        <f>M9*Assumptions!$C$7</f>
        <v/>
      </c>
      <c r="N12" s="38">
        <f>N9*Assumptions!$C$7</f>
        <v/>
      </c>
      <c r="O12" s="37">
        <f>O9*Assumptions!$C$7</f>
        <v/>
      </c>
      <c r="P12" s="38">
        <f>P9*Assumptions!$C$7</f>
        <v/>
      </c>
      <c r="Q12" s="37">
        <f>Q9*Assumptions!$C$7</f>
        <v/>
      </c>
      <c r="R12" s="38">
        <f>R9*Assumptions!$C$7</f>
        <v/>
      </c>
      <c r="S12" s="37">
        <f>S9*Assumptions!$C$7</f>
        <v/>
      </c>
      <c r="T12" s="38">
        <f>T9*Assumptions!$C$7</f>
        <v/>
      </c>
      <c r="U12" s="37">
        <f>U9*Assumptions!$C$7</f>
        <v/>
      </c>
      <c r="V12" s="38">
        <f>V9*Assumptions!$C$7</f>
        <v/>
      </c>
      <c r="W12" s="37">
        <f>W9*Assumptions!$C$7</f>
        <v/>
      </c>
      <c r="X12" s="38">
        <f>X9*Assumptions!$C$7</f>
        <v/>
      </c>
      <c r="Y12" s="37">
        <f>Y9*Assumptions!$C$7</f>
        <v/>
      </c>
      <c r="Z12" s="38">
        <f>Z9*Assumptions!$C$7</f>
        <v/>
      </c>
      <c r="AA12" s="37">
        <f>AA9*Assumptions!$C$7</f>
        <v/>
      </c>
      <c r="AB12" s="38">
        <f>AB9*Assumptions!$C$7</f>
        <v/>
      </c>
      <c r="AC12" s="37">
        <f>AC9*Assumptions!$C$7</f>
        <v/>
      </c>
      <c r="AD12" s="38">
        <f>AD9*Assumptions!$C$7</f>
        <v/>
      </c>
      <c r="AE12" s="37">
        <f>AE9*Assumptions!$C$7</f>
        <v/>
      </c>
      <c r="AF12" s="38">
        <f>AF9*Assumptions!$C$7</f>
        <v/>
      </c>
      <c r="AG12" s="37">
        <f>AG9*Assumptions!$C$7</f>
        <v/>
      </c>
      <c r="AH12" s="38">
        <f>AH9*Assumptions!$C$7</f>
        <v/>
      </c>
      <c r="AI12" s="37">
        <f>AI9*Assumptions!$C$7</f>
        <v/>
      </c>
      <c r="AJ12" s="38">
        <f>AJ9*Assumptions!$C$7</f>
        <v/>
      </c>
      <c r="AK12" s="37">
        <f>AK9*Assumptions!$C$7</f>
        <v/>
      </c>
      <c r="AL12" s="38">
        <f>AL9*Assumptions!$C$7</f>
        <v/>
      </c>
    </row>
    <row r="13" ht="17" customHeight="1">
      <c r="A13" s="31" t="inlineStr">
        <is>
          <t xml:space="preserve">  Annual Recurring Revenue (ARR)</t>
        </is>
      </c>
      <c r="C13" s="37">
        <f>C12*12</f>
        <v/>
      </c>
      <c r="D13" s="38">
        <f>D12*12</f>
        <v/>
      </c>
      <c r="E13" s="37">
        <f>E12*12</f>
        <v/>
      </c>
      <c r="F13" s="38">
        <f>F12*12</f>
        <v/>
      </c>
      <c r="G13" s="37">
        <f>G12*12</f>
        <v/>
      </c>
      <c r="H13" s="38">
        <f>H12*12</f>
        <v/>
      </c>
      <c r="I13" s="37">
        <f>I12*12</f>
        <v/>
      </c>
      <c r="J13" s="38">
        <f>J12*12</f>
        <v/>
      </c>
      <c r="K13" s="37">
        <f>K12*12</f>
        <v/>
      </c>
      <c r="L13" s="38">
        <f>L12*12</f>
        <v/>
      </c>
      <c r="M13" s="37">
        <f>M12*12</f>
        <v/>
      </c>
      <c r="N13" s="38">
        <f>N12*12</f>
        <v/>
      </c>
      <c r="O13" s="37">
        <f>O12*12</f>
        <v/>
      </c>
      <c r="P13" s="38">
        <f>P12*12</f>
        <v/>
      </c>
      <c r="Q13" s="37">
        <f>Q12*12</f>
        <v/>
      </c>
      <c r="R13" s="38">
        <f>R12*12</f>
        <v/>
      </c>
      <c r="S13" s="37">
        <f>S12*12</f>
        <v/>
      </c>
      <c r="T13" s="38">
        <f>T12*12</f>
        <v/>
      </c>
      <c r="U13" s="37">
        <f>U12*12</f>
        <v/>
      </c>
      <c r="V13" s="38">
        <f>V12*12</f>
        <v/>
      </c>
      <c r="W13" s="37">
        <f>W12*12</f>
        <v/>
      </c>
      <c r="X13" s="38">
        <f>X12*12</f>
        <v/>
      </c>
      <c r="Y13" s="37">
        <f>Y12*12</f>
        <v/>
      </c>
      <c r="Z13" s="38">
        <f>Z12*12</f>
        <v/>
      </c>
      <c r="AA13" s="37">
        <f>AA12*12</f>
        <v/>
      </c>
      <c r="AB13" s="38">
        <f>AB12*12</f>
        <v/>
      </c>
      <c r="AC13" s="37">
        <f>AC12*12</f>
        <v/>
      </c>
      <c r="AD13" s="38">
        <f>AD12*12</f>
        <v/>
      </c>
      <c r="AE13" s="37">
        <f>AE12*12</f>
        <v/>
      </c>
      <c r="AF13" s="38">
        <f>AF12*12</f>
        <v/>
      </c>
      <c r="AG13" s="37">
        <f>AG12*12</f>
        <v/>
      </c>
      <c r="AH13" s="38">
        <f>AH12*12</f>
        <v/>
      </c>
      <c r="AI13" s="37">
        <f>AI12*12</f>
        <v/>
      </c>
      <c r="AJ13" s="38">
        <f>AJ12*12</f>
        <v/>
      </c>
      <c r="AK13" s="37">
        <f>AK12*12</f>
        <v/>
      </c>
      <c r="AL13" s="38">
        <f>AL12*12</f>
        <v/>
      </c>
    </row>
    <row r="14" ht="17" customHeight="1">
      <c r="A14" s="34" t="inlineStr">
        <is>
          <t xml:space="preserve">  Blended ARPU (monthly)</t>
        </is>
      </c>
      <c r="C14" s="39">
        <f>IF(C9&gt;0,C12/C9,0)</f>
        <v/>
      </c>
      <c r="D14" s="40">
        <f>IF(D9&gt;0,D12/D9,0)</f>
        <v/>
      </c>
      <c r="E14" s="39">
        <f>IF(E9&gt;0,E12/E9,0)</f>
        <v/>
      </c>
      <c r="F14" s="40">
        <f>IF(F9&gt;0,F12/F9,0)</f>
        <v/>
      </c>
      <c r="G14" s="39">
        <f>IF(G9&gt;0,G12/G9,0)</f>
        <v/>
      </c>
      <c r="H14" s="40">
        <f>IF(H9&gt;0,H12/H9,0)</f>
        <v/>
      </c>
      <c r="I14" s="39">
        <f>IF(I9&gt;0,I12/I9,0)</f>
        <v/>
      </c>
      <c r="J14" s="40">
        <f>IF(J9&gt;0,J12/J9,0)</f>
        <v/>
      </c>
      <c r="K14" s="39">
        <f>IF(K9&gt;0,K12/K9,0)</f>
        <v/>
      </c>
      <c r="L14" s="40">
        <f>IF(L9&gt;0,L12/L9,0)</f>
        <v/>
      </c>
      <c r="M14" s="39">
        <f>IF(M9&gt;0,M12/M9,0)</f>
        <v/>
      </c>
      <c r="N14" s="40">
        <f>IF(N9&gt;0,N12/N9,0)</f>
        <v/>
      </c>
      <c r="O14" s="39">
        <f>IF(O9&gt;0,O12/O9,0)</f>
        <v/>
      </c>
      <c r="P14" s="40">
        <f>IF(P9&gt;0,P12/P9,0)</f>
        <v/>
      </c>
      <c r="Q14" s="39">
        <f>IF(Q9&gt;0,Q12/Q9,0)</f>
        <v/>
      </c>
      <c r="R14" s="40">
        <f>IF(R9&gt;0,R12/R9,0)</f>
        <v/>
      </c>
      <c r="S14" s="39">
        <f>IF(S9&gt;0,S12/S9,0)</f>
        <v/>
      </c>
      <c r="T14" s="40">
        <f>IF(T9&gt;0,T12/T9,0)</f>
        <v/>
      </c>
      <c r="U14" s="39">
        <f>IF(U9&gt;0,U12/U9,0)</f>
        <v/>
      </c>
      <c r="V14" s="40">
        <f>IF(V9&gt;0,V12/V9,0)</f>
        <v/>
      </c>
      <c r="W14" s="39">
        <f>IF(W9&gt;0,W12/W9,0)</f>
        <v/>
      </c>
      <c r="X14" s="40">
        <f>IF(X9&gt;0,X12/X9,0)</f>
        <v/>
      </c>
      <c r="Y14" s="39">
        <f>IF(Y9&gt;0,Y12/Y9,0)</f>
        <v/>
      </c>
      <c r="Z14" s="40">
        <f>IF(Z9&gt;0,Z12/Z9,0)</f>
        <v/>
      </c>
      <c r="AA14" s="39">
        <f>IF(AA9&gt;0,AA12/AA9,0)</f>
        <v/>
      </c>
      <c r="AB14" s="40">
        <f>IF(AB9&gt;0,AB12/AB9,0)</f>
        <v/>
      </c>
      <c r="AC14" s="39">
        <f>IF(AC9&gt;0,AC12/AC9,0)</f>
        <v/>
      </c>
      <c r="AD14" s="40">
        <f>IF(AD9&gt;0,AD12/AD9,0)</f>
        <v/>
      </c>
      <c r="AE14" s="39">
        <f>IF(AE9&gt;0,AE12/AE9,0)</f>
        <v/>
      </c>
      <c r="AF14" s="40">
        <f>IF(AF9&gt;0,AF12/AF9,0)</f>
        <v/>
      </c>
      <c r="AG14" s="39">
        <f>IF(AG9&gt;0,AG12/AG9,0)</f>
        <v/>
      </c>
      <c r="AH14" s="40">
        <f>IF(AH9&gt;0,AH12/AH9,0)</f>
        <v/>
      </c>
      <c r="AI14" s="39">
        <f>IF(AI9&gt;0,AI12/AI9,0)</f>
        <v/>
      </c>
      <c r="AJ14" s="40">
        <f>IF(AJ9&gt;0,AJ12/AJ9,0)</f>
        <v/>
      </c>
      <c r="AK14" s="39">
        <f>IF(AK9&gt;0,AK12/AK9,0)</f>
        <v/>
      </c>
      <c r="AL14" s="40">
        <f>IF(AL9&gt;0,AL12/AL9,0)</f>
        <v/>
      </c>
    </row>
    <row r="15" ht="6" customHeight="1"/>
    <row r="16" ht="17" customHeight="1">
      <c r="A16" s="30" t="inlineStr">
        <is>
          <t>OPERATING COSTS</t>
        </is>
      </c>
      <c r="B16" s="15" t="n"/>
    </row>
    <row r="17" ht="17" customHeight="1">
      <c r="A17" s="31" t="inlineStr">
        <is>
          <t xml:space="preserve">  Supabase</t>
        </is>
      </c>
      <c r="C17" s="37">
        <f>Assumptions!$C$32</f>
        <v/>
      </c>
      <c r="D17" s="38">
        <f>Assumptions!$C$32</f>
        <v/>
      </c>
      <c r="E17" s="37">
        <f>Assumptions!$C$32</f>
        <v/>
      </c>
      <c r="F17" s="38">
        <f>Assumptions!$C$32</f>
        <v/>
      </c>
      <c r="G17" s="37">
        <f>Assumptions!$C$32</f>
        <v/>
      </c>
      <c r="H17" s="38">
        <f>Assumptions!$C$32</f>
        <v/>
      </c>
      <c r="I17" s="37">
        <f>Assumptions!$C$32</f>
        <v/>
      </c>
      <c r="J17" s="38">
        <f>Assumptions!$C$32</f>
        <v/>
      </c>
      <c r="K17" s="37">
        <f>Assumptions!$C$32</f>
        <v/>
      </c>
      <c r="L17" s="38">
        <f>Assumptions!$C$32</f>
        <v/>
      </c>
      <c r="M17" s="37">
        <f>Assumptions!$C$32</f>
        <v/>
      </c>
      <c r="N17" s="38">
        <f>Assumptions!$C$32</f>
        <v/>
      </c>
      <c r="O17" s="37">
        <f>Assumptions!$C$32</f>
        <v/>
      </c>
      <c r="P17" s="38">
        <f>Assumptions!$C$32</f>
        <v/>
      </c>
      <c r="Q17" s="37">
        <f>Assumptions!$C$32</f>
        <v/>
      </c>
      <c r="R17" s="38">
        <f>Assumptions!$C$32</f>
        <v/>
      </c>
      <c r="S17" s="37">
        <f>Assumptions!$C$32</f>
        <v/>
      </c>
      <c r="T17" s="38">
        <f>Assumptions!$C$32</f>
        <v/>
      </c>
      <c r="U17" s="37">
        <f>Assumptions!$C$32</f>
        <v/>
      </c>
      <c r="V17" s="38">
        <f>Assumptions!$C$32</f>
        <v/>
      </c>
      <c r="W17" s="37">
        <f>Assumptions!$C$32</f>
        <v/>
      </c>
      <c r="X17" s="38">
        <f>Assumptions!$C$32</f>
        <v/>
      </c>
      <c r="Y17" s="37">
        <f>Assumptions!$C$32</f>
        <v/>
      </c>
      <c r="Z17" s="38">
        <f>Assumptions!$C$32</f>
        <v/>
      </c>
      <c r="AA17" s="37">
        <f>Assumptions!$C$32</f>
        <v/>
      </c>
      <c r="AB17" s="38">
        <f>Assumptions!$C$32</f>
        <v/>
      </c>
      <c r="AC17" s="37">
        <f>Assumptions!$C$32</f>
        <v/>
      </c>
      <c r="AD17" s="38">
        <f>Assumptions!$C$32</f>
        <v/>
      </c>
      <c r="AE17" s="37">
        <f>Assumptions!$C$32</f>
        <v/>
      </c>
      <c r="AF17" s="38">
        <f>Assumptions!$C$32</f>
        <v/>
      </c>
      <c r="AG17" s="37">
        <f>Assumptions!$C$32</f>
        <v/>
      </c>
      <c r="AH17" s="38">
        <f>Assumptions!$C$32</f>
        <v/>
      </c>
      <c r="AI17" s="37">
        <f>Assumptions!$C$32</f>
        <v/>
      </c>
      <c r="AJ17" s="38">
        <f>Assumptions!$C$32</f>
        <v/>
      </c>
      <c r="AK17" s="37">
        <f>Assumptions!$C$32</f>
        <v/>
      </c>
      <c r="AL17" s="38">
        <f>Assumptions!$C$32</f>
        <v/>
      </c>
    </row>
    <row r="18" ht="17" customHeight="1">
      <c r="A18" s="34" t="inlineStr">
        <is>
          <t xml:space="preserve">  Vercel / hosting</t>
        </is>
      </c>
      <c r="C18" s="37">
        <f>Assumptions!$C$33</f>
        <v/>
      </c>
      <c r="D18" s="38">
        <f>Assumptions!$C$33</f>
        <v/>
      </c>
      <c r="E18" s="37">
        <f>Assumptions!$C$33</f>
        <v/>
      </c>
      <c r="F18" s="38">
        <f>Assumptions!$C$33</f>
        <v/>
      </c>
      <c r="G18" s="37">
        <f>Assumptions!$C$33</f>
        <v/>
      </c>
      <c r="H18" s="38">
        <f>Assumptions!$C$33</f>
        <v/>
      </c>
      <c r="I18" s="37">
        <f>Assumptions!$C$33</f>
        <v/>
      </c>
      <c r="J18" s="38">
        <f>Assumptions!$C$33</f>
        <v/>
      </c>
      <c r="K18" s="37">
        <f>Assumptions!$C$33</f>
        <v/>
      </c>
      <c r="L18" s="38">
        <f>Assumptions!$C$33</f>
        <v/>
      </c>
      <c r="M18" s="37">
        <f>Assumptions!$C$33</f>
        <v/>
      </c>
      <c r="N18" s="38">
        <f>Assumptions!$C$33</f>
        <v/>
      </c>
      <c r="O18" s="37">
        <f>Assumptions!$C$33</f>
        <v/>
      </c>
      <c r="P18" s="38">
        <f>Assumptions!$C$33</f>
        <v/>
      </c>
      <c r="Q18" s="37">
        <f>Assumptions!$C$33</f>
        <v/>
      </c>
      <c r="R18" s="38">
        <f>Assumptions!$C$33</f>
        <v/>
      </c>
      <c r="S18" s="37">
        <f>Assumptions!$C$33</f>
        <v/>
      </c>
      <c r="T18" s="38">
        <f>Assumptions!$C$33</f>
        <v/>
      </c>
      <c r="U18" s="37">
        <f>Assumptions!$C$33</f>
        <v/>
      </c>
      <c r="V18" s="38">
        <f>Assumptions!$C$33</f>
        <v/>
      </c>
      <c r="W18" s="37">
        <f>Assumptions!$C$33</f>
        <v/>
      </c>
      <c r="X18" s="38">
        <f>Assumptions!$C$33</f>
        <v/>
      </c>
      <c r="Y18" s="37">
        <f>Assumptions!$C$33</f>
        <v/>
      </c>
      <c r="Z18" s="38">
        <f>Assumptions!$C$33</f>
        <v/>
      </c>
      <c r="AA18" s="37">
        <f>Assumptions!$C$33</f>
        <v/>
      </c>
      <c r="AB18" s="38">
        <f>Assumptions!$C$33</f>
        <v/>
      </c>
      <c r="AC18" s="37">
        <f>Assumptions!$C$33</f>
        <v/>
      </c>
      <c r="AD18" s="38">
        <f>Assumptions!$C$33</f>
        <v/>
      </c>
      <c r="AE18" s="37">
        <f>Assumptions!$C$33</f>
        <v/>
      </c>
      <c r="AF18" s="38">
        <f>Assumptions!$C$33</f>
        <v/>
      </c>
      <c r="AG18" s="37">
        <f>Assumptions!$C$33</f>
        <v/>
      </c>
      <c r="AH18" s="38">
        <f>Assumptions!$C$33</f>
        <v/>
      </c>
      <c r="AI18" s="37">
        <f>Assumptions!$C$33</f>
        <v/>
      </c>
      <c r="AJ18" s="38">
        <f>Assumptions!$C$33</f>
        <v/>
      </c>
      <c r="AK18" s="37">
        <f>Assumptions!$C$33</f>
        <v/>
      </c>
      <c r="AL18" s="38">
        <f>Assumptions!$C$33</f>
        <v/>
      </c>
    </row>
    <row r="19" ht="17" customHeight="1">
      <c r="A19" s="31" t="inlineStr">
        <is>
          <t xml:space="preserve">  AI API costs</t>
        </is>
      </c>
      <c r="C19" s="37">
        <f>Assumptions!$C$35</f>
        <v/>
      </c>
      <c r="D19" s="38">
        <f>Assumptions!$C$35</f>
        <v/>
      </c>
      <c r="E19" s="37">
        <f>Assumptions!$C$35</f>
        <v/>
      </c>
      <c r="F19" s="38">
        <f>Assumptions!$C$35</f>
        <v/>
      </c>
      <c r="G19" s="37">
        <f>Assumptions!$C$35</f>
        <v/>
      </c>
      <c r="H19" s="38">
        <f>Assumptions!$C$35</f>
        <v/>
      </c>
      <c r="I19" s="37">
        <f>Assumptions!$C$35</f>
        <v/>
      </c>
      <c r="J19" s="38">
        <f>Assumptions!$C$35</f>
        <v/>
      </c>
      <c r="K19" s="37">
        <f>Assumptions!$C$35</f>
        <v/>
      </c>
      <c r="L19" s="38">
        <f>Assumptions!$C$35</f>
        <v/>
      </c>
      <c r="M19" s="37">
        <f>Assumptions!$C$35</f>
        <v/>
      </c>
      <c r="N19" s="38">
        <f>Assumptions!$C$35</f>
        <v/>
      </c>
      <c r="O19" s="37">
        <f>Assumptions!$C$35</f>
        <v/>
      </c>
      <c r="P19" s="38">
        <f>Assumptions!$C$35</f>
        <v/>
      </c>
      <c r="Q19" s="37">
        <f>Assumptions!$C$35</f>
        <v/>
      </c>
      <c r="R19" s="38">
        <f>Assumptions!$C$35</f>
        <v/>
      </c>
      <c r="S19" s="37">
        <f>Assumptions!$C$35</f>
        <v/>
      </c>
      <c r="T19" s="38">
        <f>Assumptions!$C$35</f>
        <v/>
      </c>
      <c r="U19" s="37">
        <f>Assumptions!$C$35</f>
        <v/>
      </c>
      <c r="V19" s="38">
        <f>Assumptions!$C$35</f>
        <v/>
      </c>
      <c r="W19" s="37">
        <f>Assumptions!$C$35</f>
        <v/>
      </c>
      <c r="X19" s="38">
        <f>Assumptions!$C$35</f>
        <v/>
      </c>
      <c r="Y19" s="37">
        <f>Assumptions!$C$35</f>
        <v/>
      </c>
      <c r="Z19" s="38">
        <f>Assumptions!$C$35</f>
        <v/>
      </c>
      <c r="AA19" s="37">
        <f>Assumptions!$C$35</f>
        <v/>
      </c>
      <c r="AB19" s="38">
        <f>Assumptions!$C$35</f>
        <v/>
      </c>
      <c r="AC19" s="37">
        <f>Assumptions!$C$35</f>
        <v/>
      </c>
      <c r="AD19" s="38">
        <f>Assumptions!$C$35</f>
        <v/>
      </c>
      <c r="AE19" s="37">
        <f>Assumptions!$C$35</f>
        <v/>
      </c>
      <c r="AF19" s="38">
        <f>Assumptions!$C$35</f>
        <v/>
      </c>
      <c r="AG19" s="37">
        <f>Assumptions!$C$35</f>
        <v/>
      </c>
      <c r="AH19" s="38">
        <f>Assumptions!$C$35</f>
        <v/>
      </c>
      <c r="AI19" s="37">
        <f>Assumptions!$C$35</f>
        <v/>
      </c>
      <c r="AJ19" s="38">
        <f>Assumptions!$C$35</f>
        <v/>
      </c>
      <c r="AK19" s="37">
        <f>Assumptions!$C$35</f>
        <v/>
      </c>
      <c r="AL19" s="38">
        <f>Assumptions!$C$35</f>
        <v/>
      </c>
    </row>
    <row r="20" ht="17" customHeight="1">
      <c r="A20" s="34" t="inlineStr">
        <is>
          <t xml:space="preserve">  Developer contractor</t>
        </is>
      </c>
      <c r="C20" s="37">
        <f>Assumptions!$C$36</f>
        <v/>
      </c>
      <c r="D20" s="38">
        <f>Assumptions!$C$36</f>
        <v/>
      </c>
      <c r="E20" s="37">
        <f>Assumptions!$C$36</f>
        <v/>
      </c>
      <c r="F20" s="38">
        <f>Assumptions!$C$36</f>
        <v/>
      </c>
      <c r="G20" s="37">
        <f>Assumptions!$C$36</f>
        <v/>
      </c>
      <c r="H20" s="38">
        <f>Assumptions!$C$36</f>
        <v/>
      </c>
      <c r="I20" s="37">
        <f>Assumptions!$C$36</f>
        <v/>
      </c>
      <c r="J20" s="38">
        <f>Assumptions!$C$36</f>
        <v/>
      </c>
      <c r="K20" s="37">
        <f>Assumptions!$C$36</f>
        <v/>
      </c>
      <c r="L20" s="38">
        <f>Assumptions!$C$36</f>
        <v/>
      </c>
      <c r="M20" s="37">
        <f>Assumptions!$C$36</f>
        <v/>
      </c>
      <c r="N20" s="38">
        <f>Assumptions!$C$36</f>
        <v/>
      </c>
      <c r="O20" s="37">
        <f>Assumptions!$C$36</f>
        <v/>
      </c>
      <c r="P20" s="38">
        <f>Assumptions!$C$36</f>
        <v/>
      </c>
      <c r="Q20" s="37">
        <f>Assumptions!$C$36</f>
        <v/>
      </c>
      <c r="R20" s="38">
        <f>Assumptions!$C$36</f>
        <v/>
      </c>
      <c r="S20" s="37">
        <f>Assumptions!$C$36</f>
        <v/>
      </c>
      <c r="T20" s="38">
        <f>Assumptions!$C$36</f>
        <v/>
      </c>
      <c r="U20" s="37">
        <f>Assumptions!$C$36</f>
        <v/>
      </c>
      <c r="V20" s="38">
        <f>Assumptions!$C$36</f>
        <v/>
      </c>
      <c r="W20" s="37">
        <f>Assumptions!$C$36</f>
        <v/>
      </c>
      <c r="X20" s="38">
        <f>Assumptions!$C$36</f>
        <v/>
      </c>
      <c r="Y20" s="37">
        <f>Assumptions!$C$36</f>
        <v/>
      </c>
      <c r="Z20" s="38">
        <f>Assumptions!$C$36</f>
        <v/>
      </c>
      <c r="AA20" s="37">
        <f>Assumptions!$C$36</f>
        <v/>
      </c>
      <c r="AB20" s="38">
        <f>Assumptions!$C$36</f>
        <v/>
      </c>
      <c r="AC20" s="37">
        <f>Assumptions!$C$36</f>
        <v/>
      </c>
      <c r="AD20" s="38">
        <f>Assumptions!$C$36</f>
        <v/>
      </c>
      <c r="AE20" s="37">
        <f>Assumptions!$C$36</f>
        <v/>
      </c>
      <c r="AF20" s="38">
        <f>Assumptions!$C$36</f>
        <v/>
      </c>
      <c r="AG20" s="37">
        <f>Assumptions!$C$36</f>
        <v/>
      </c>
      <c r="AH20" s="38">
        <f>Assumptions!$C$36</f>
        <v/>
      </c>
      <c r="AI20" s="37">
        <f>Assumptions!$C$36</f>
        <v/>
      </c>
      <c r="AJ20" s="38">
        <f>Assumptions!$C$36</f>
        <v/>
      </c>
      <c r="AK20" s="37">
        <f>Assumptions!$C$36</f>
        <v/>
      </c>
      <c r="AL20" s="38">
        <f>Assumptions!$C$36</f>
        <v/>
      </c>
    </row>
    <row r="21" ht="17" customHeight="1">
      <c r="A21" s="31" t="inlineStr">
        <is>
          <t xml:space="preserve">  Other monthly costs</t>
        </is>
      </c>
      <c r="C21" s="37">
        <f>Assumptions!$C$34+Assumptions!$C$37+Assumptions!$C$38</f>
        <v/>
      </c>
      <c r="D21" s="38">
        <f>Assumptions!$C$34+Assumptions!$C$37+Assumptions!$C$38</f>
        <v/>
      </c>
      <c r="E21" s="37">
        <f>Assumptions!$C$34+Assumptions!$C$37+Assumptions!$C$38</f>
        <v/>
      </c>
      <c r="F21" s="38">
        <f>Assumptions!$C$34+Assumptions!$C$37+Assumptions!$C$38</f>
        <v/>
      </c>
      <c r="G21" s="37">
        <f>Assumptions!$C$34+Assumptions!$C$37+Assumptions!$C$38</f>
        <v/>
      </c>
      <c r="H21" s="38">
        <f>Assumptions!$C$34+Assumptions!$C$37+Assumptions!$C$38</f>
        <v/>
      </c>
      <c r="I21" s="37">
        <f>Assumptions!$C$34+Assumptions!$C$37+Assumptions!$C$38</f>
        <v/>
      </c>
      <c r="J21" s="38">
        <f>Assumptions!$C$34+Assumptions!$C$37+Assumptions!$C$38</f>
        <v/>
      </c>
      <c r="K21" s="37">
        <f>Assumptions!$C$34+Assumptions!$C$37+Assumptions!$C$38</f>
        <v/>
      </c>
      <c r="L21" s="38">
        <f>Assumptions!$C$34+Assumptions!$C$37+Assumptions!$C$38</f>
        <v/>
      </c>
      <c r="M21" s="37">
        <f>Assumptions!$C$34+Assumptions!$C$37+Assumptions!$C$38</f>
        <v/>
      </c>
      <c r="N21" s="38">
        <f>Assumptions!$C$34+Assumptions!$C$37+Assumptions!$C$38</f>
        <v/>
      </c>
      <c r="O21" s="37">
        <f>Assumptions!$C$34+Assumptions!$C$37+Assumptions!$C$38</f>
        <v/>
      </c>
      <c r="P21" s="38">
        <f>Assumptions!$C$34+Assumptions!$C$37+Assumptions!$C$38</f>
        <v/>
      </c>
      <c r="Q21" s="37">
        <f>Assumptions!$C$34+Assumptions!$C$37+Assumptions!$C$38</f>
        <v/>
      </c>
      <c r="R21" s="38">
        <f>Assumptions!$C$34+Assumptions!$C$37+Assumptions!$C$38</f>
        <v/>
      </c>
      <c r="S21" s="37">
        <f>Assumptions!$C$34+Assumptions!$C$37+Assumptions!$C$38</f>
        <v/>
      </c>
      <c r="T21" s="38">
        <f>Assumptions!$C$34+Assumptions!$C$37+Assumptions!$C$38</f>
        <v/>
      </c>
      <c r="U21" s="37">
        <f>Assumptions!$C$34+Assumptions!$C$37+Assumptions!$C$38</f>
        <v/>
      </c>
      <c r="V21" s="38">
        <f>Assumptions!$C$34+Assumptions!$C$37+Assumptions!$C$38</f>
        <v/>
      </c>
      <c r="W21" s="37">
        <f>Assumptions!$C$34+Assumptions!$C$37+Assumptions!$C$38</f>
        <v/>
      </c>
      <c r="X21" s="38">
        <f>Assumptions!$C$34+Assumptions!$C$37+Assumptions!$C$38</f>
        <v/>
      </c>
      <c r="Y21" s="37">
        <f>Assumptions!$C$34+Assumptions!$C$37+Assumptions!$C$38</f>
        <v/>
      </c>
      <c r="Z21" s="38">
        <f>Assumptions!$C$34+Assumptions!$C$37+Assumptions!$C$38</f>
        <v/>
      </c>
      <c r="AA21" s="37">
        <f>Assumptions!$C$34+Assumptions!$C$37+Assumptions!$C$38</f>
        <v/>
      </c>
      <c r="AB21" s="38">
        <f>Assumptions!$C$34+Assumptions!$C$37+Assumptions!$C$38</f>
        <v/>
      </c>
      <c r="AC21" s="37">
        <f>Assumptions!$C$34+Assumptions!$C$37+Assumptions!$C$38</f>
        <v/>
      </c>
      <c r="AD21" s="38">
        <f>Assumptions!$C$34+Assumptions!$C$37+Assumptions!$C$38</f>
        <v/>
      </c>
      <c r="AE21" s="37">
        <f>Assumptions!$C$34+Assumptions!$C$37+Assumptions!$C$38</f>
        <v/>
      </c>
      <c r="AF21" s="38">
        <f>Assumptions!$C$34+Assumptions!$C$37+Assumptions!$C$38</f>
        <v/>
      </c>
      <c r="AG21" s="37">
        <f>Assumptions!$C$34+Assumptions!$C$37+Assumptions!$C$38</f>
        <v/>
      </c>
      <c r="AH21" s="38">
        <f>Assumptions!$C$34+Assumptions!$C$37+Assumptions!$C$38</f>
        <v/>
      </c>
      <c r="AI21" s="37">
        <f>Assumptions!$C$34+Assumptions!$C$37+Assumptions!$C$38</f>
        <v/>
      </c>
      <c r="AJ21" s="38">
        <f>Assumptions!$C$34+Assumptions!$C$37+Assumptions!$C$38</f>
        <v/>
      </c>
      <c r="AK21" s="37">
        <f>Assumptions!$C$34+Assumptions!$C$37+Assumptions!$C$38</f>
        <v/>
      </c>
      <c r="AL21" s="38">
        <f>Assumptions!$C$34+Assumptions!$C$37+Assumptions!$C$38</f>
        <v/>
      </c>
    </row>
    <row r="22" ht="17" customHeight="1">
      <c r="A22" s="34" t="inlineStr">
        <is>
          <t xml:space="preserve">  Total Monthly OpEx</t>
        </is>
      </c>
      <c r="C22" s="41">
        <f>C17+C18+C19+C20+C21</f>
        <v/>
      </c>
      <c r="D22" s="42">
        <f>D17+D18+D19+D20+D21</f>
        <v/>
      </c>
      <c r="E22" s="41">
        <f>E17+E18+E19+E20+E21</f>
        <v/>
      </c>
      <c r="F22" s="42">
        <f>F17+F18+F19+F20+F21</f>
        <v/>
      </c>
      <c r="G22" s="41">
        <f>G17+G18+G19+G20+G21</f>
        <v/>
      </c>
      <c r="H22" s="42">
        <f>H17+H18+H19+H20+H21</f>
        <v/>
      </c>
      <c r="I22" s="41">
        <f>I17+I18+I19+I20+I21</f>
        <v/>
      </c>
      <c r="J22" s="42">
        <f>J17+J18+J19+J20+J21</f>
        <v/>
      </c>
      <c r="K22" s="41">
        <f>K17+K18+K19+K20+K21</f>
        <v/>
      </c>
      <c r="L22" s="42">
        <f>L17+L18+L19+L20+L21</f>
        <v/>
      </c>
      <c r="M22" s="41">
        <f>M17+M18+M19+M20+M21</f>
        <v/>
      </c>
      <c r="N22" s="42">
        <f>N17+N18+N19+N20+N21</f>
        <v/>
      </c>
      <c r="O22" s="41">
        <f>O17+O18+O19+O20+O21</f>
        <v/>
      </c>
      <c r="P22" s="42">
        <f>P17+P18+P19+P20+P21</f>
        <v/>
      </c>
      <c r="Q22" s="41">
        <f>Q17+Q18+Q19+Q20+Q21</f>
        <v/>
      </c>
      <c r="R22" s="42">
        <f>R17+R18+R19+R20+R21</f>
        <v/>
      </c>
      <c r="S22" s="41">
        <f>S17+S18+S19+S20+S21</f>
        <v/>
      </c>
      <c r="T22" s="42">
        <f>T17+T18+T19+T20+T21</f>
        <v/>
      </c>
      <c r="U22" s="41">
        <f>U17+U18+U19+U20+U21</f>
        <v/>
      </c>
      <c r="V22" s="42">
        <f>V17+V18+V19+V20+V21</f>
        <v/>
      </c>
      <c r="W22" s="41">
        <f>W17+W18+W19+W20+W21</f>
        <v/>
      </c>
      <c r="X22" s="42">
        <f>X17+X18+X19+X20+X21</f>
        <v/>
      </c>
      <c r="Y22" s="41">
        <f>Y17+Y18+Y19+Y20+Y21</f>
        <v/>
      </c>
      <c r="Z22" s="42">
        <f>Z17+Z18+Z19+Z20+Z21</f>
        <v/>
      </c>
      <c r="AA22" s="41">
        <f>AA17+AA18+AA19+AA20+AA21</f>
        <v/>
      </c>
      <c r="AB22" s="42">
        <f>AB17+AB18+AB19+AB20+AB21</f>
        <v/>
      </c>
      <c r="AC22" s="41">
        <f>AC17+AC18+AC19+AC20+AC21</f>
        <v/>
      </c>
      <c r="AD22" s="42">
        <f>AD17+AD18+AD19+AD20+AD21</f>
        <v/>
      </c>
      <c r="AE22" s="41">
        <f>AE17+AE18+AE19+AE20+AE21</f>
        <v/>
      </c>
      <c r="AF22" s="42">
        <f>AF17+AF18+AF19+AF20+AF21</f>
        <v/>
      </c>
      <c r="AG22" s="41">
        <f>AG17+AG18+AG19+AG20+AG21</f>
        <v/>
      </c>
      <c r="AH22" s="42">
        <f>AH17+AH18+AH19+AH20+AH21</f>
        <v/>
      </c>
      <c r="AI22" s="41">
        <f>AI17+AI18+AI19+AI20+AI21</f>
        <v/>
      </c>
      <c r="AJ22" s="42">
        <f>AJ17+AJ18+AJ19+AJ20+AJ21</f>
        <v/>
      </c>
      <c r="AK22" s="41">
        <f>AK17+AK18+AK19+AK20+AK21</f>
        <v/>
      </c>
      <c r="AL22" s="42">
        <f>AL17+AL18+AL19+AL20+AL21</f>
        <v/>
      </c>
    </row>
    <row r="23" ht="6" customHeight="1"/>
    <row r="24" ht="17" customHeight="1">
      <c r="A24" s="30" t="inlineStr">
        <is>
          <t>P&amp;L</t>
        </is>
      </c>
      <c r="B24" s="15" t="n"/>
    </row>
    <row r="25" ht="17" customHeight="1">
      <c r="A25" s="31" t="inlineStr">
        <is>
          <t xml:space="preserve">  Gross Profit</t>
        </is>
      </c>
      <c r="C25" s="37">
        <f>C12-(C17+C18+C19)</f>
        <v/>
      </c>
      <c r="D25" s="38">
        <f>D12-(D17+D18+D19)</f>
        <v/>
      </c>
      <c r="E25" s="37">
        <f>E12-(E17+E18+E19)</f>
        <v/>
      </c>
      <c r="F25" s="38">
        <f>F12-(F17+F18+F19)</f>
        <v/>
      </c>
      <c r="G25" s="37">
        <f>G12-(G17+G18+G19)</f>
        <v/>
      </c>
      <c r="H25" s="38">
        <f>H12-(H17+H18+H19)</f>
        <v/>
      </c>
      <c r="I25" s="37">
        <f>I12-(I17+I18+I19)</f>
        <v/>
      </c>
      <c r="J25" s="38">
        <f>J12-(J17+J18+J19)</f>
        <v/>
      </c>
      <c r="K25" s="37">
        <f>K12-(K17+K18+K19)</f>
        <v/>
      </c>
      <c r="L25" s="38">
        <f>L12-(L17+L18+L19)</f>
        <v/>
      </c>
      <c r="M25" s="37">
        <f>M12-(M17+M18+M19)</f>
        <v/>
      </c>
      <c r="N25" s="38">
        <f>N12-(N17+N18+N19)</f>
        <v/>
      </c>
      <c r="O25" s="37">
        <f>O12-(O17+O18+O19)</f>
        <v/>
      </c>
      <c r="P25" s="38">
        <f>P12-(P17+P18+P19)</f>
        <v/>
      </c>
      <c r="Q25" s="37">
        <f>Q12-(Q17+Q18+Q19)</f>
        <v/>
      </c>
      <c r="R25" s="38">
        <f>R12-(R17+R18+R19)</f>
        <v/>
      </c>
      <c r="S25" s="37">
        <f>S12-(S17+S18+S19)</f>
        <v/>
      </c>
      <c r="T25" s="38">
        <f>T12-(T17+T18+T19)</f>
        <v/>
      </c>
      <c r="U25" s="37">
        <f>U12-(U17+U18+U19)</f>
        <v/>
      </c>
      <c r="V25" s="38">
        <f>V12-(V17+V18+V19)</f>
        <v/>
      </c>
      <c r="W25" s="37">
        <f>W12-(W17+W18+W19)</f>
        <v/>
      </c>
      <c r="X25" s="38">
        <f>X12-(X17+X18+X19)</f>
        <v/>
      </c>
      <c r="Y25" s="37">
        <f>Y12-(Y17+Y18+Y19)</f>
        <v/>
      </c>
      <c r="Z25" s="38">
        <f>Z12-(Z17+Z18+Z19)</f>
        <v/>
      </c>
      <c r="AA25" s="37">
        <f>AA12-(AA17+AA18+AA19)</f>
        <v/>
      </c>
      <c r="AB25" s="38">
        <f>AB12-(AB17+AB18+AB19)</f>
        <v/>
      </c>
      <c r="AC25" s="37">
        <f>AC12-(AC17+AC18+AC19)</f>
        <v/>
      </c>
      <c r="AD25" s="38">
        <f>AD12-(AD17+AD18+AD19)</f>
        <v/>
      </c>
      <c r="AE25" s="37">
        <f>AE12-(AE17+AE18+AE19)</f>
        <v/>
      </c>
      <c r="AF25" s="38">
        <f>AF12-(AF17+AF18+AF19)</f>
        <v/>
      </c>
      <c r="AG25" s="37">
        <f>AG12-(AG17+AG18+AG19)</f>
        <v/>
      </c>
      <c r="AH25" s="38">
        <f>AH12-(AH17+AH18+AH19)</f>
        <v/>
      </c>
      <c r="AI25" s="37">
        <f>AI12-(AI17+AI18+AI19)</f>
        <v/>
      </c>
      <c r="AJ25" s="38">
        <f>AJ12-(AJ17+AJ18+AJ19)</f>
        <v/>
      </c>
      <c r="AK25" s="37">
        <f>AK12-(AK17+AK18+AK19)</f>
        <v/>
      </c>
      <c r="AL25" s="38">
        <f>AL12-(AL17+AL18+AL19)</f>
        <v/>
      </c>
    </row>
    <row r="26" ht="17" customHeight="1">
      <c r="A26" s="34" t="inlineStr">
        <is>
          <t xml:space="preserve">  Gross Margin %</t>
        </is>
      </c>
      <c r="C26" s="43">
        <f>IF(C12&lt;&gt;0,C25/C12,0)</f>
        <v/>
      </c>
      <c r="D26" s="44">
        <f>IF(D12&lt;&gt;0,D25/D12,0)</f>
        <v/>
      </c>
      <c r="E26" s="43">
        <f>IF(E12&lt;&gt;0,E25/E12,0)</f>
        <v/>
      </c>
      <c r="F26" s="44">
        <f>IF(F12&lt;&gt;0,F25/F12,0)</f>
        <v/>
      </c>
      <c r="G26" s="43">
        <f>IF(G12&lt;&gt;0,G25/G12,0)</f>
        <v/>
      </c>
      <c r="H26" s="44">
        <f>IF(H12&lt;&gt;0,H25/H12,0)</f>
        <v/>
      </c>
      <c r="I26" s="43">
        <f>IF(I12&lt;&gt;0,I25/I12,0)</f>
        <v/>
      </c>
      <c r="J26" s="44">
        <f>IF(J12&lt;&gt;0,J25/J12,0)</f>
        <v/>
      </c>
      <c r="K26" s="43">
        <f>IF(K12&lt;&gt;0,K25/K12,0)</f>
        <v/>
      </c>
      <c r="L26" s="44">
        <f>IF(L12&lt;&gt;0,L25/L12,0)</f>
        <v/>
      </c>
      <c r="M26" s="43">
        <f>IF(M12&lt;&gt;0,M25/M12,0)</f>
        <v/>
      </c>
      <c r="N26" s="44">
        <f>IF(N12&lt;&gt;0,N25/N12,0)</f>
        <v/>
      </c>
      <c r="O26" s="43">
        <f>IF(O12&lt;&gt;0,O25/O12,0)</f>
        <v/>
      </c>
      <c r="P26" s="44">
        <f>IF(P12&lt;&gt;0,P25/P12,0)</f>
        <v/>
      </c>
      <c r="Q26" s="43">
        <f>IF(Q12&lt;&gt;0,Q25/Q12,0)</f>
        <v/>
      </c>
      <c r="R26" s="44">
        <f>IF(R12&lt;&gt;0,R25/R12,0)</f>
        <v/>
      </c>
      <c r="S26" s="43">
        <f>IF(S12&lt;&gt;0,S25/S12,0)</f>
        <v/>
      </c>
      <c r="T26" s="44">
        <f>IF(T12&lt;&gt;0,T25/T12,0)</f>
        <v/>
      </c>
      <c r="U26" s="43">
        <f>IF(U12&lt;&gt;0,U25/U12,0)</f>
        <v/>
      </c>
      <c r="V26" s="44">
        <f>IF(V12&lt;&gt;0,V25/V12,0)</f>
        <v/>
      </c>
      <c r="W26" s="43">
        <f>IF(W12&lt;&gt;0,W25/W12,0)</f>
        <v/>
      </c>
      <c r="X26" s="44">
        <f>IF(X12&lt;&gt;0,X25/X12,0)</f>
        <v/>
      </c>
      <c r="Y26" s="43">
        <f>IF(Y12&lt;&gt;0,Y25/Y12,0)</f>
        <v/>
      </c>
      <c r="Z26" s="44">
        <f>IF(Z12&lt;&gt;0,Z25/Z12,0)</f>
        <v/>
      </c>
      <c r="AA26" s="43">
        <f>IF(AA12&lt;&gt;0,AA25/AA12,0)</f>
        <v/>
      </c>
      <c r="AB26" s="44">
        <f>IF(AB12&lt;&gt;0,AB25/AB12,0)</f>
        <v/>
      </c>
      <c r="AC26" s="43">
        <f>IF(AC12&lt;&gt;0,AC25/AC12,0)</f>
        <v/>
      </c>
      <c r="AD26" s="44">
        <f>IF(AD12&lt;&gt;0,AD25/AD12,0)</f>
        <v/>
      </c>
      <c r="AE26" s="43">
        <f>IF(AE12&lt;&gt;0,AE25/AE12,0)</f>
        <v/>
      </c>
      <c r="AF26" s="44">
        <f>IF(AF12&lt;&gt;0,AF25/AF12,0)</f>
        <v/>
      </c>
      <c r="AG26" s="43">
        <f>IF(AG12&lt;&gt;0,AG25/AG12,0)</f>
        <v/>
      </c>
      <c r="AH26" s="44">
        <f>IF(AH12&lt;&gt;0,AH25/AH12,0)</f>
        <v/>
      </c>
      <c r="AI26" s="43">
        <f>IF(AI12&lt;&gt;0,AI25/AI12,0)</f>
        <v/>
      </c>
      <c r="AJ26" s="44">
        <f>IF(AJ12&lt;&gt;0,AJ25/AJ12,0)</f>
        <v/>
      </c>
      <c r="AK26" s="43">
        <f>IF(AK12&lt;&gt;0,AK25/AK12,0)</f>
        <v/>
      </c>
      <c r="AL26" s="44">
        <f>IF(AL12&lt;&gt;0,AL25/AL12,0)</f>
        <v/>
      </c>
    </row>
    <row r="27" ht="17" customHeight="1">
      <c r="A27" s="31" t="inlineStr">
        <is>
          <t xml:space="preserve">  EBITDA</t>
        </is>
      </c>
      <c r="C27" s="37">
        <f>C12-C22</f>
        <v/>
      </c>
      <c r="D27" s="38">
        <f>D12-D22</f>
        <v/>
      </c>
      <c r="E27" s="37">
        <f>E12-E22</f>
        <v/>
      </c>
      <c r="F27" s="38">
        <f>F12-F22</f>
        <v/>
      </c>
      <c r="G27" s="37">
        <f>G12-G22</f>
        <v/>
      </c>
      <c r="H27" s="38">
        <f>H12-H22</f>
        <v/>
      </c>
      <c r="I27" s="37">
        <f>I12-I22</f>
        <v/>
      </c>
      <c r="J27" s="38">
        <f>J12-J22</f>
        <v/>
      </c>
      <c r="K27" s="37">
        <f>K12-K22</f>
        <v/>
      </c>
      <c r="L27" s="38">
        <f>L12-L22</f>
        <v/>
      </c>
      <c r="M27" s="37">
        <f>M12-M22</f>
        <v/>
      </c>
      <c r="N27" s="38">
        <f>N12-N22</f>
        <v/>
      </c>
      <c r="O27" s="37">
        <f>O12-O22</f>
        <v/>
      </c>
      <c r="P27" s="38">
        <f>P12-P22</f>
        <v/>
      </c>
      <c r="Q27" s="37">
        <f>Q12-Q22</f>
        <v/>
      </c>
      <c r="R27" s="38">
        <f>R12-R22</f>
        <v/>
      </c>
      <c r="S27" s="37">
        <f>S12-S22</f>
        <v/>
      </c>
      <c r="T27" s="38">
        <f>T12-T22</f>
        <v/>
      </c>
      <c r="U27" s="37">
        <f>U12-U22</f>
        <v/>
      </c>
      <c r="V27" s="38">
        <f>V12-V22</f>
        <v/>
      </c>
      <c r="W27" s="37">
        <f>W12-W22</f>
        <v/>
      </c>
      <c r="X27" s="38">
        <f>X12-X22</f>
        <v/>
      </c>
      <c r="Y27" s="37">
        <f>Y12-Y22</f>
        <v/>
      </c>
      <c r="Z27" s="38">
        <f>Z12-Z22</f>
        <v/>
      </c>
      <c r="AA27" s="37">
        <f>AA12-AA22</f>
        <v/>
      </c>
      <c r="AB27" s="38">
        <f>AB12-AB22</f>
        <v/>
      </c>
      <c r="AC27" s="37">
        <f>AC12-AC22</f>
        <v/>
      </c>
      <c r="AD27" s="38">
        <f>AD12-AD22</f>
        <v/>
      </c>
      <c r="AE27" s="37">
        <f>AE12-AE22</f>
        <v/>
      </c>
      <c r="AF27" s="38">
        <f>AF12-AF22</f>
        <v/>
      </c>
      <c r="AG27" s="37">
        <f>AG12-AG22</f>
        <v/>
      </c>
      <c r="AH27" s="38">
        <f>AH12-AH22</f>
        <v/>
      </c>
      <c r="AI27" s="37">
        <f>AI12-AI22</f>
        <v/>
      </c>
      <c r="AJ27" s="38">
        <f>AJ12-AJ22</f>
        <v/>
      </c>
      <c r="AK27" s="37">
        <f>AK12-AK22</f>
        <v/>
      </c>
      <c r="AL27" s="38">
        <f>AL12-AL22</f>
        <v/>
      </c>
    </row>
    <row r="28" ht="17" customHeight="1">
      <c r="A28" s="34" t="inlineStr">
        <is>
          <t xml:space="preserve">  EBITDA Margin %</t>
        </is>
      </c>
      <c r="C28" s="43">
        <f>IF(C12&lt;&gt;0,C27/C12,0)</f>
        <v/>
      </c>
      <c r="D28" s="44">
        <f>IF(D12&lt;&gt;0,D27/D12,0)</f>
        <v/>
      </c>
      <c r="E28" s="43">
        <f>IF(E12&lt;&gt;0,E27/E12,0)</f>
        <v/>
      </c>
      <c r="F28" s="44">
        <f>IF(F12&lt;&gt;0,F27/F12,0)</f>
        <v/>
      </c>
      <c r="G28" s="43">
        <f>IF(G12&lt;&gt;0,G27/G12,0)</f>
        <v/>
      </c>
      <c r="H28" s="44">
        <f>IF(H12&lt;&gt;0,H27/H12,0)</f>
        <v/>
      </c>
      <c r="I28" s="43">
        <f>IF(I12&lt;&gt;0,I27/I12,0)</f>
        <v/>
      </c>
      <c r="J28" s="44">
        <f>IF(J12&lt;&gt;0,J27/J12,0)</f>
        <v/>
      </c>
      <c r="K28" s="43">
        <f>IF(K12&lt;&gt;0,K27/K12,0)</f>
        <v/>
      </c>
      <c r="L28" s="44">
        <f>IF(L12&lt;&gt;0,L27/L12,0)</f>
        <v/>
      </c>
      <c r="M28" s="43">
        <f>IF(M12&lt;&gt;0,M27/M12,0)</f>
        <v/>
      </c>
      <c r="N28" s="44">
        <f>IF(N12&lt;&gt;0,N27/N12,0)</f>
        <v/>
      </c>
      <c r="O28" s="43">
        <f>IF(O12&lt;&gt;0,O27/O12,0)</f>
        <v/>
      </c>
      <c r="P28" s="44">
        <f>IF(P12&lt;&gt;0,P27/P12,0)</f>
        <v/>
      </c>
      <c r="Q28" s="43">
        <f>IF(Q12&lt;&gt;0,Q27/Q12,0)</f>
        <v/>
      </c>
      <c r="R28" s="44">
        <f>IF(R12&lt;&gt;0,R27/R12,0)</f>
        <v/>
      </c>
      <c r="S28" s="43">
        <f>IF(S12&lt;&gt;0,S27/S12,0)</f>
        <v/>
      </c>
      <c r="T28" s="44">
        <f>IF(T12&lt;&gt;0,T27/T12,0)</f>
        <v/>
      </c>
      <c r="U28" s="43">
        <f>IF(U12&lt;&gt;0,U27/U12,0)</f>
        <v/>
      </c>
      <c r="V28" s="44">
        <f>IF(V12&lt;&gt;0,V27/V12,0)</f>
        <v/>
      </c>
      <c r="W28" s="43">
        <f>IF(W12&lt;&gt;0,W27/W12,0)</f>
        <v/>
      </c>
      <c r="X28" s="44">
        <f>IF(X12&lt;&gt;0,X27/X12,0)</f>
        <v/>
      </c>
      <c r="Y28" s="43">
        <f>IF(Y12&lt;&gt;0,Y27/Y12,0)</f>
        <v/>
      </c>
      <c r="Z28" s="44">
        <f>IF(Z12&lt;&gt;0,Z27/Z12,0)</f>
        <v/>
      </c>
      <c r="AA28" s="43">
        <f>IF(AA12&lt;&gt;0,AA27/AA12,0)</f>
        <v/>
      </c>
      <c r="AB28" s="44">
        <f>IF(AB12&lt;&gt;0,AB27/AB12,0)</f>
        <v/>
      </c>
      <c r="AC28" s="43">
        <f>IF(AC12&lt;&gt;0,AC27/AC12,0)</f>
        <v/>
      </c>
      <c r="AD28" s="44">
        <f>IF(AD12&lt;&gt;0,AD27/AD12,0)</f>
        <v/>
      </c>
      <c r="AE28" s="43">
        <f>IF(AE12&lt;&gt;0,AE27/AE12,0)</f>
        <v/>
      </c>
      <c r="AF28" s="44">
        <f>IF(AF12&lt;&gt;0,AF27/AF12,0)</f>
        <v/>
      </c>
      <c r="AG28" s="43">
        <f>IF(AG12&lt;&gt;0,AG27/AG12,0)</f>
        <v/>
      </c>
      <c r="AH28" s="44">
        <f>IF(AH12&lt;&gt;0,AH27/AH12,0)</f>
        <v/>
      </c>
      <c r="AI28" s="43">
        <f>IF(AI12&lt;&gt;0,AI27/AI12,0)</f>
        <v/>
      </c>
      <c r="AJ28" s="44">
        <f>IF(AJ12&lt;&gt;0,AJ27/AJ12,0)</f>
        <v/>
      </c>
      <c r="AK28" s="43">
        <f>IF(AK12&lt;&gt;0,AK27/AK12,0)</f>
        <v/>
      </c>
      <c r="AL28" s="44">
        <f>IF(AL12&lt;&gt;0,AL27/AL12,0)</f>
        <v/>
      </c>
    </row>
    <row r="29" ht="17" customHeight="1">
      <c r="A29" s="31" t="inlineStr">
        <is>
          <t xml:space="preserve">  Cumulative Cash Flow</t>
        </is>
      </c>
      <c r="C29" s="45">
        <f>C27</f>
        <v/>
      </c>
      <c r="D29" s="45">
        <f>C29+D27</f>
        <v/>
      </c>
      <c r="E29" s="45">
        <f>D29+E27</f>
        <v/>
      </c>
      <c r="F29" s="45">
        <f>E29+F27</f>
        <v/>
      </c>
      <c r="G29" s="45">
        <f>F29+G27</f>
        <v/>
      </c>
      <c r="H29" s="45">
        <f>G29+H27</f>
        <v/>
      </c>
      <c r="I29" s="45">
        <f>H29+I27</f>
        <v/>
      </c>
      <c r="J29" s="45">
        <f>I29+J27</f>
        <v/>
      </c>
      <c r="K29" s="45">
        <f>J29+K27</f>
        <v/>
      </c>
      <c r="L29" s="45">
        <f>K29+L27</f>
        <v/>
      </c>
      <c r="M29" s="45">
        <f>L29+M27</f>
        <v/>
      </c>
      <c r="N29" s="45">
        <f>M29+N27</f>
        <v/>
      </c>
      <c r="O29" s="45">
        <f>N29+O27</f>
        <v/>
      </c>
      <c r="P29" s="45">
        <f>O29+P27</f>
        <v/>
      </c>
      <c r="Q29" s="45">
        <f>P29+Q27</f>
        <v/>
      </c>
      <c r="R29" s="45">
        <f>Q29+R27</f>
        <v/>
      </c>
      <c r="S29" s="45">
        <f>R29+S27</f>
        <v/>
      </c>
      <c r="T29" s="45">
        <f>S29+T27</f>
        <v/>
      </c>
      <c r="U29" s="45">
        <f>T29+U27</f>
        <v/>
      </c>
      <c r="V29" s="45">
        <f>U29+V27</f>
        <v/>
      </c>
      <c r="W29" s="45">
        <f>V29+W27</f>
        <v/>
      </c>
      <c r="X29" s="45">
        <f>W29+X27</f>
        <v/>
      </c>
      <c r="Y29" s="45">
        <f>X29+Y27</f>
        <v/>
      </c>
      <c r="Z29" s="45">
        <f>Y29+Z27</f>
        <v/>
      </c>
      <c r="AA29" s="45">
        <f>Z29+AA27</f>
        <v/>
      </c>
      <c r="AB29" s="45">
        <f>AA29+AB27</f>
        <v/>
      </c>
      <c r="AC29" s="45">
        <f>AB29+AC27</f>
        <v/>
      </c>
      <c r="AD29" s="45">
        <f>AC29+AD27</f>
        <v/>
      </c>
      <c r="AE29" s="45">
        <f>AD29+AE27</f>
        <v/>
      </c>
      <c r="AF29" s="45">
        <f>AE29+AF27</f>
        <v/>
      </c>
      <c r="AG29" s="45">
        <f>AF29+AG27</f>
        <v/>
      </c>
      <c r="AH29" s="45">
        <f>AG29+AH27</f>
        <v/>
      </c>
      <c r="AI29" s="45">
        <f>AH29+AI27</f>
        <v/>
      </c>
      <c r="AJ29" s="45">
        <f>AI29+AJ27</f>
        <v/>
      </c>
      <c r="AK29" s="45">
        <f>AJ29+AK27</f>
        <v/>
      </c>
      <c r="AL29" s="45">
        <f>AK29+AL27</f>
        <v/>
      </c>
    </row>
  </sheetData>
  <mergeCells count="3">
    <mergeCell ref="O2:Z2"/>
    <mergeCell ref="AA2:AL2"/>
    <mergeCell ref="C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>
      <c r="B2" s="46" t="inlineStr">
        <is>
          <t>VLTD — Pricing Strategy &amp; Scenario Analysis</t>
        </is>
      </c>
    </row>
    <row r="3">
      <c r="B3" s="13" t="inlineStr">
        <is>
          <t>Assumes 5,000 free users by Month 12 · Competitor benchmarks included</t>
        </is>
      </c>
    </row>
    <row r="5" ht="20" customHeight="1">
      <c r="B5" s="47" t="inlineStr">
        <is>
          <t>Metric</t>
        </is>
      </c>
      <c r="C5" s="47" t="inlineStr">
        <is>
          <t>Scenario A
$4.99/mo</t>
        </is>
      </c>
      <c r="D5" s="48" t="inlineStr">
        <is>
          <t>Scenario B
$7.99/mo</t>
        </is>
      </c>
      <c r="E5" s="47" t="inlineStr">
        <is>
          <t>Scenario C
$12.99/mo</t>
        </is>
      </c>
      <c r="F5" s="47" t="inlineStr">
        <is>
          <t>Notes</t>
        </is>
      </c>
    </row>
    <row r="6" ht="18" customHeight="1">
      <c r="B6" s="34" t="inlineStr">
        <is>
          <t>Monthly price</t>
        </is>
      </c>
      <c r="C6" s="49" t="n">
        <v>4.99</v>
      </c>
      <c r="D6" s="50" t="n">
        <v>7.99</v>
      </c>
      <c r="E6" s="49" t="n">
        <v>12.99</v>
      </c>
    </row>
    <row r="7" ht="18" customHeight="1">
      <c r="B7" s="31" t="inlineStr">
        <is>
          <t>Annual price (15% disc.)</t>
        </is>
      </c>
      <c r="C7" s="51" t="n">
        <v>50.89</v>
      </c>
      <c r="D7" s="50" t="n">
        <v>81.5</v>
      </c>
      <c r="E7" s="52" t="n">
        <v>132.49</v>
      </c>
      <c r="F7" s="53">
        <f>monthly×12×0.85</f>
        <v/>
      </c>
    </row>
    <row r="8" ht="18" customHeight="1">
      <c r="B8" t="inlineStr"/>
    </row>
    <row r="9" ht="18" customHeight="1">
      <c r="B9" s="54" t="inlineStr">
        <is>
          <t>COMPETITOR BENCHMARKS</t>
        </is>
      </c>
      <c r="C9" s="15" t="n"/>
      <c r="D9" s="15" t="n"/>
      <c r="E9" s="15" t="n"/>
      <c r="F9" s="15" t="n"/>
    </row>
    <row r="10" ht="18" customHeight="1">
      <c r="B10" s="34" t="inlineStr">
        <is>
          <t>CLZ (comics/games)</t>
        </is>
      </c>
      <c r="C10" s="49" t="n">
        <v>4.99</v>
      </c>
      <c r="F10" s="53" t="inlineStr">
        <is>
          <t>Single category</t>
        </is>
      </c>
    </row>
    <row r="11" ht="18" customHeight="1">
      <c r="B11" s="31" t="inlineStr">
        <is>
          <t>CollX (sports cards)</t>
        </is>
      </c>
      <c r="C11" s="51" t="n">
        <v>9.99</v>
      </c>
      <c r="F11" s="53" t="inlineStr">
        <is>
          <t>Single category</t>
        </is>
      </c>
    </row>
    <row r="12" ht="18" customHeight="1">
      <c r="B12" s="34" t="inlineStr">
        <is>
          <t>Beckett Organize</t>
        </is>
      </c>
      <c r="C12" s="49" t="n">
        <v>9.99</v>
      </c>
      <c r="F12" s="53" t="inlineStr">
        <is>
          <t>Single category</t>
        </is>
      </c>
    </row>
    <row r="13" ht="18" customHeight="1">
      <c r="B13" s="31" t="inlineStr">
        <is>
          <t>Shiny (TCG)</t>
        </is>
      </c>
      <c r="C13" s="51" t="n">
        <v>4.99</v>
      </c>
      <c r="F13" s="53" t="inlineStr">
        <is>
          <t>Single category</t>
        </is>
      </c>
    </row>
    <row r="14" ht="18" customHeight="1">
      <c r="B14" s="34" t="inlineStr">
        <is>
          <t>CovrPrice (comics)</t>
        </is>
      </c>
      <c r="C14" s="49" t="n">
        <v>9.99</v>
      </c>
      <c r="F14" s="53" t="inlineStr">
        <is>
          <t>Single category</t>
        </is>
      </c>
    </row>
    <row r="15" ht="18" customHeight="1">
      <c r="B15" t="inlineStr"/>
    </row>
    <row r="16" ht="18" customHeight="1">
      <c r="B16" s="54" t="inlineStr">
        <is>
          <t>FREE-TO-PAID PROJECTIONS (Mo. 12 — 5,000 free users)</t>
        </is>
      </c>
      <c r="C16" s="15" t="n"/>
      <c r="D16" s="15" t="n"/>
      <c r="E16" s="15" t="n"/>
      <c r="F16" s="15" t="n"/>
    </row>
    <row r="17" ht="18" customHeight="1">
      <c r="B17" s="31" t="inlineStr">
        <is>
          <t>Conversion rate (4%)</t>
        </is>
      </c>
      <c r="C17" s="55" t="n">
        <v>200</v>
      </c>
      <c r="D17" s="56" t="n">
        <v>200</v>
      </c>
      <c r="E17" s="55" t="n">
        <v>200</v>
      </c>
      <c r="F17" s="53">
        <f> 200 paid users</f>
        <v/>
      </c>
    </row>
    <row r="18" ht="18" customHeight="1">
      <c r="B18" s="34" t="inlineStr">
        <is>
          <t>Monthly paid user base</t>
        </is>
      </c>
      <c r="C18" s="32" t="n">
        <v>200</v>
      </c>
      <c r="D18" s="56" t="n">
        <v>200</v>
      </c>
      <c r="E18" s="32" t="n">
        <v>200</v>
      </c>
      <c r="F18" s="53" t="inlineStr">
        <is>
          <t>Same users, diff price</t>
        </is>
      </c>
    </row>
    <row r="19" ht="18" customHeight="1">
      <c r="B19" s="31" t="inlineStr">
        <is>
          <t>MRR at Month 12</t>
        </is>
      </c>
      <c r="C19" s="55" t="n">
        <v>998</v>
      </c>
      <c r="D19" s="56" t="n">
        <v>1598</v>
      </c>
      <c r="E19" s="55" t="n">
        <v>2598</v>
      </c>
    </row>
    <row r="20" ht="18" customHeight="1">
      <c r="B20" s="34" t="inlineStr">
        <is>
          <t>ARR at Month 12</t>
        </is>
      </c>
      <c r="C20" s="32" t="n">
        <v>11976</v>
      </c>
      <c r="D20" s="56" t="n">
        <v>19176</v>
      </c>
      <c r="E20" s="32" t="n">
        <v>31176</v>
      </c>
    </row>
    <row r="21" ht="18" customHeight="1">
      <c r="B21" t="inlineStr"/>
    </row>
    <row r="22" ht="18" customHeight="1">
      <c r="B22" s="54" t="inlineStr">
        <is>
          <t>LTV / RETENTION ANALYSIS</t>
        </is>
      </c>
      <c r="C22" s="15" t="n"/>
      <c r="D22" s="15" t="n"/>
      <c r="E22" s="15" t="n"/>
      <c r="F22" s="15" t="n"/>
    </row>
    <row r="23" ht="18" customHeight="1">
      <c r="B23" s="31" t="inlineStr">
        <is>
          <t>Avg paid lifetime (months)</t>
        </is>
      </c>
      <c r="C23" s="51" t="n">
        <v>28.6</v>
      </c>
      <c r="D23" s="50" t="n">
        <v>28.6</v>
      </c>
      <c r="E23" s="51" t="n">
        <v>28.6</v>
      </c>
      <c r="F23" s="53">
        <f>1/3.5% churn</f>
        <v/>
      </c>
    </row>
    <row r="24" ht="18" customHeight="1">
      <c r="B24" s="34" t="inlineStr">
        <is>
          <t>LTV (lifetime value)</t>
        </is>
      </c>
      <c r="C24" s="57" t="n">
        <v>142.86</v>
      </c>
      <c r="D24" s="58" t="n">
        <v>228.57</v>
      </c>
      <c r="E24" s="57" t="n">
        <v>371.43</v>
      </c>
      <c r="F24" s="53">
        <f>price × avg lifetime</f>
        <v/>
      </c>
    </row>
    <row r="25" ht="18" customHeight="1">
      <c r="B25" s="31" t="inlineStr">
        <is>
          <t>Est. CAC (organic only)</t>
        </is>
      </c>
      <c r="C25" s="51" t="n">
        <v>5</v>
      </c>
      <c r="D25" s="50" t="n">
        <v>5</v>
      </c>
      <c r="E25" s="51" t="n">
        <v>5</v>
      </c>
      <c r="F25" s="53" t="inlineStr">
        <is>
          <t>Content creation time amortized</t>
        </is>
      </c>
    </row>
    <row r="26" ht="18" customHeight="1">
      <c r="B26" s="34" t="inlineStr">
        <is>
          <t>LTV : CAC ratio</t>
        </is>
      </c>
      <c r="C26" s="49" t="n">
        <v>28.6</v>
      </c>
      <c r="D26" s="50" t="n">
        <v>45.7</v>
      </c>
      <c r="E26" s="49" t="n">
        <v>74.3</v>
      </c>
      <c r="F26" s="53" t="inlineStr">
        <is>
          <t>Target: &gt;3x. All scenarios excellent.</t>
        </is>
      </c>
    </row>
    <row r="27" ht="18" customHeight="1">
      <c r="B27" t="inlineStr"/>
    </row>
    <row r="28" ht="18" customHeight="1">
      <c r="B28" s="54" t="inlineStr">
        <is>
          <t>BREAKEVEN (MONTHLY OPEX = $197/mo)</t>
        </is>
      </c>
      <c r="C28" s="15" t="n"/>
      <c r="D28" s="15" t="n"/>
      <c r="E28" s="15" t="n"/>
      <c r="F28" s="15" t="n"/>
    </row>
    <row r="29" ht="18" customHeight="1">
      <c r="B29" s="31" t="inlineStr">
        <is>
          <t>Paid users needed to break even</t>
        </is>
      </c>
      <c r="C29" s="55" t="n">
        <v>40</v>
      </c>
      <c r="D29" s="56" t="n">
        <v>25</v>
      </c>
      <c r="E29" s="55" t="n">
        <v>16</v>
      </c>
      <c r="F29" s="53">
        <f>OpEx / monthly price</f>
        <v/>
      </c>
    </row>
    <row r="30" ht="18" customHeight="1">
      <c r="B30" s="34" t="inlineStr">
        <is>
          <t>Months to breakeven</t>
        </is>
      </c>
      <c r="C30" s="32" t="n">
        <v>3</v>
      </c>
      <c r="D30" s="56" t="n">
        <v>2</v>
      </c>
      <c r="E30" s="32" t="n">
        <v>2</v>
      </c>
      <c r="F30" s="53" t="inlineStr">
        <is>
          <t>Est. with organic growth curve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2">
      <c r="B2" s="46" t="inlineStr">
        <is>
          <t>VLTD — IP &amp; Domain Acquisition Budget</t>
        </is>
      </c>
    </row>
    <row r="3">
      <c r="B3" s="13" t="inlineStr">
        <is>
          <t>File before press coverage · Estimate range based on negotiation outcome</t>
        </is>
      </c>
    </row>
    <row r="5" ht="20" customHeight="1">
      <c r="B5" s="47" t="inlineStr">
        <is>
          <t>Item</t>
        </is>
      </c>
      <c r="C5" s="47" t="inlineStr">
        <is>
          <t>Low ($)</t>
        </is>
      </c>
      <c r="D5" s="47" t="inlineStr">
        <is>
          <t>Mid ($)</t>
        </is>
      </c>
      <c r="E5" s="47" t="inlineStr">
        <is>
          <t>High ($)</t>
        </is>
      </c>
      <c r="F5" s="47" t="inlineStr">
        <is>
          <t>When</t>
        </is>
      </c>
      <c r="G5" s="47" t="inlineStr">
        <is>
          <t>Notes</t>
        </is>
      </c>
    </row>
    <row r="6" ht="18" customHeight="1">
      <c r="B6" s="54" t="inlineStr">
        <is>
          <t>TRADEMARK FILINGS — USPTO</t>
        </is>
      </c>
      <c r="C6" s="15" t="n"/>
      <c r="D6" s="15" t="n"/>
      <c r="E6" s="15" t="n"/>
      <c r="F6" s="15" t="n"/>
      <c r="G6" s="15" t="n"/>
      <c r="H6" s="15" t="n"/>
    </row>
    <row r="7" ht="18" customHeight="1">
      <c r="B7" s="31" t="inlineStr">
        <is>
          <t>TEAS Plus filing fee (per class)</t>
        </is>
      </c>
      <c r="C7" s="52" t="n">
        <v>350</v>
      </c>
      <c r="D7" s="52" t="n">
        <v>350</v>
      </c>
      <c r="E7" s="52" t="n">
        <v>350</v>
      </c>
      <c r="F7" s="59" t="inlineStr">
        <is>
          <t>Now</t>
        </is>
      </c>
      <c r="G7" s="53" t="inlineStr">
        <is>
          <t>USPTO fee — non-negotiable</t>
        </is>
      </c>
    </row>
    <row r="8" ht="18" customHeight="1">
      <c r="B8" s="34" t="inlineStr">
        <is>
          <t>Class 42: Software / SaaS</t>
        </is>
      </c>
      <c r="C8" s="52" t="n">
        <v>350</v>
      </c>
      <c r="D8" s="57" t="n">
        <v>350</v>
      </c>
      <c r="E8" s="52" t="n">
        <v>350</v>
      </c>
      <c r="F8" s="59" t="inlineStr">
        <is>
          <t>Now</t>
        </is>
      </c>
      <c r="G8" s="53" t="inlineStr">
        <is>
          <t>Primary class for VLTD app</t>
        </is>
      </c>
    </row>
    <row r="9" ht="18" customHeight="1">
      <c r="B9" s="31" t="inlineStr">
        <is>
          <t>Class 35: Retail services (marketplace)</t>
        </is>
      </c>
      <c r="C9" s="52" t="n">
        <v>350</v>
      </c>
      <c r="D9" s="52" t="n">
        <v>350</v>
      </c>
      <c r="E9" s="52" t="n">
        <v>350</v>
      </c>
      <c r="F9" s="59" t="inlineStr">
        <is>
          <t>Now</t>
        </is>
      </c>
      <c r="G9" s="53" t="inlineStr">
        <is>
          <t>Optional but recommended</t>
        </is>
      </c>
    </row>
    <row r="10" ht="18" customHeight="1">
      <c r="B10" s="34" t="inlineStr">
        <is>
          <t>Trademark attorney (full service)</t>
        </is>
      </c>
      <c r="C10" s="52" t="n">
        <v>0</v>
      </c>
      <c r="D10" s="57" t="n">
        <v>1500</v>
      </c>
      <c r="E10" s="52" t="n">
        <v>2500</v>
      </c>
      <c r="F10" s="59" t="inlineStr">
        <is>
          <t>Now</t>
        </is>
      </c>
      <c r="G10" s="53" t="inlineStr">
        <is>
          <t>$0 if self-filed; attorney reduces rejection risk</t>
        </is>
      </c>
    </row>
    <row r="11" ht="18" customHeight="1">
      <c r="B11" s="31" t="inlineStr">
        <is>
          <t>International filings (Madrid Protocol)</t>
        </is>
      </c>
      <c r="C11" s="52" t="n">
        <v>0</v>
      </c>
      <c r="D11" s="52" t="n">
        <v>0</v>
      </c>
      <c r="E11" s="52" t="n">
        <v>3500</v>
      </c>
      <c r="F11" s="59" t="inlineStr">
        <is>
          <t>Year 2</t>
        </is>
      </c>
      <c r="G11" s="53" t="inlineStr">
        <is>
          <t>Skip pre-launch; file when revenue justifies</t>
        </is>
      </c>
    </row>
    <row r="12" ht="18" customHeight="1">
      <c r="B12" s="60" t="inlineStr">
        <is>
          <t>SUBTOTAL — Trademark</t>
        </is>
      </c>
      <c r="C12" s="61" t="n">
        <v>700</v>
      </c>
      <c r="D12" s="45" t="n">
        <v>2200</v>
      </c>
      <c r="E12" s="61" t="n">
        <v>6700</v>
      </c>
      <c r="F12" s="59" t="inlineStr"/>
      <c r="G12" s="53" t="inlineStr"/>
    </row>
    <row r="13" ht="18" customHeight="1">
      <c r="B13" t="inlineStr"/>
    </row>
    <row r="14" ht="18" customHeight="1">
      <c r="B14" s="54" t="inlineStr">
        <is>
          <t>DOMAIN ACQUISITION</t>
        </is>
      </c>
      <c r="C14" s="15" t="n"/>
      <c r="D14" s="15" t="n"/>
      <c r="E14" s="15" t="n"/>
      <c r="F14" s="15" t="n"/>
      <c r="G14" s="15" t="n"/>
      <c r="H14" s="15" t="n"/>
    </row>
    <row r="15" ht="18" customHeight="1">
      <c r="B15" s="31" t="inlineStr">
        <is>
          <t>VLTD.com — acquisition (negotiated)</t>
        </is>
      </c>
      <c r="C15" s="52" t="n">
        <v>500</v>
      </c>
      <c r="D15" s="52" t="n">
        <v>2500</v>
      </c>
      <c r="E15" s="52" t="n">
        <v>8000</v>
      </c>
      <c r="F15" s="59" t="inlineStr">
        <is>
          <t>Now</t>
        </is>
      </c>
      <c r="G15" s="53" t="inlineStr">
        <is>
          <t>4-letter .com — LLLL.com trades $500–$8K; check Sedo/Afternic</t>
        </is>
      </c>
    </row>
    <row r="16" ht="18" customHeight="1">
      <c r="B16" s="34" t="inlineStr">
        <is>
          <t>VLTD.co — fallback domain</t>
        </is>
      </c>
      <c r="C16" s="52" t="n">
        <v>200</v>
      </c>
      <c r="D16" s="57" t="n">
        <v>500</v>
      </c>
      <c r="E16" s="52" t="n">
        <v>1500</v>
      </c>
      <c r="F16" s="59" t="inlineStr">
        <is>
          <t>Optional</t>
        </is>
      </c>
      <c r="G16" s="53" t="inlineStr">
        <is>
          <t>If .com owner won't sell</t>
        </is>
      </c>
    </row>
    <row r="17" ht="18" customHeight="1">
      <c r="B17" s="31" t="inlineStr">
        <is>
          <t>VLTD.io — secondary</t>
        </is>
      </c>
      <c r="C17" s="52" t="n">
        <v>15</v>
      </c>
      <c r="D17" s="52" t="n">
        <v>40</v>
      </c>
      <c r="E17" s="52" t="n">
        <v>100</v>
      </c>
      <c r="F17" s="59" t="inlineStr">
        <is>
          <t>Optional</t>
        </is>
      </c>
      <c r="G17" s="53" t="inlineStr">
        <is>
          <t>Standard renewal rate; likely available</t>
        </is>
      </c>
    </row>
    <row r="18" ht="18" customHeight="1">
      <c r="B18" s="34" t="inlineStr">
        <is>
          <t>Defensive registrations (.net/.org)</t>
        </is>
      </c>
      <c r="C18" s="52" t="n">
        <v>30</v>
      </c>
      <c r="D18" s="57" t="n">
        <v>60</v>
      </c>
      <c r="E18" s="52" t="n">
        <v>120</v>
      </c>
      <c r="F18" s="59" t="inlineStr">
        <is>
          <t>Optional</t>
        </is>
      </c>
      <c r="G18" s="53" t="inlineStr">
        <is>
          <t>~$15/ea to block squatters</t>
        </is>
      </c>
    </row>
    <row r="19" ht="18" customHeight="1">
      <c r="B19" s="60" t="inlineStr">
        <is>
          <t>SUBTOTAL — Domains</t>
        </is>
      </c>
      <c r="C19" s="61" t="n">
        <v>745</v>
      </c>
      <c r="D19" s="45" t="n">
        <v>3100</v>
      </c>
      <c r="E19" s="61" t="n">
        <v>9720</v>
      </c>
      <c r="F19" s="59" t="inlineStr"/>
      <c r="G19" s="53" t="inlineStr"/>
    </row>
    <row r="20" ht="18" customHeight="1">
      <c r="B20" t="inlineStr"/>
    </row>
    <row r="21" ht="18" customHeight="1">
      <c r="B21" s="54" t="inlineStr">
        <is>
          <t>LEGAL — ENTITY &amp; IP PROTECTION</t>
        </is>
      </c>
      <c r="C21" s="15" t="n"/>
      <c r="D21" s="15" t="n"/>
      <c r="E21" s="15" t="n"/>
      <c r="F21" s="15" t="n"/>
      <c r="G21" s="15" t="n"/>
      <c r="H21" s="15" t="n"/>
    </row>
    <row r="22" ht="18" customHeight="1">
      <c r="B22" s="34" t="inlineStr">
        <is>
          <t>Delaware C-Corp formation</t>
        </is>
      </c>
      <c r="C22" s="52" t="n">
        <v>0</v>
      </c>
      <c r="D22" s="57" t="n">
        <v>500</v>
      </c>
      <c r="E22" s="52" t="n">
        <v>1200</v>
      </c>
      <c r="F22" s="59" t="inlineStr">
        <is>
          <t>Pre-raise</t>
        </is>
      </c>
      <c r="G22" s="53" t="inlineStr">
        <is>
          <t>Stripe Atlas $500; attorney $1,200</t>
        </is>
      </c>
    </row>
    <row r="23" ht="18" customHeight="1">
      <c r="B23" s="31" t="inlineStr">
        <is>
          <t>IP assignment agreement</t>
        </is>
      </c>
      <c r="C23" s="52" t="n">
        <v>0</v>
      </c>
      <c r="D23" s="52" t="n">
        <v>300</v>
      </c>
      <c r="E23" s="52" t="n">
        <v>800</v>
      </c>
      <c r="F23" s="59" t="inlineStr">
        <is>
          <t>At formation</t>
        </is>
      </c>
      <c r="G23" s="53" t="inlineStr">
        <is>
          <t>Assigns all IP from founders to entity</t>
        </is>
      </c>
    </row>
    <row r="24" ht="18" customHeight="1">
      <c r="B24" s="34" t="inlineStr">
        <is>
          <t>Privacy policy + Terms of Service</t>
        </is>
      </c>
      <c r="C24" s="52" t="n">
        <v>0</v>
      </c>
      <c r="D24" s="57" t="n">
        <v>500</v>
      </c>
      <c r="E24" s="52" t="n">
        <v>2000</v>
      </c>
      <c r="F24" s="59" t="inlineStr">
        <is>
          <t>Now</t>
        </is>
      </c>
      <c r="G24" s="53" t="inlineStr">
        <is>
          <t>DIY free; attorney-drafted ~$500</t>
        </is>
      </c>
    </row>
    <row r="25" ht="18" customHeight="1">
      <c r="B25" s="60" t="inlineStr">
        <is>
          <t>SUBTOTAL — Legal</t>
        </is>
      </c>
      <c r="C25" s="61" t="n">
        <v>0</v>
      </c>
      <c r="D25" s="45" t="n">
        <v>1300</v>
      </c>
      <c r="E25" s="61" t="n">
        <v>4000</v>
      </c>
      <c r="F25" s="59" t="inlineStr"/>
      <c r="G25" s="53" t="inlineStr"/>
    </row>
    <row r="26" ht="18" customHeight="1">
      <c r="B26" t="inlineStr"/>
    </row>
    <row r="27" ht="18" customHeight="1">
      <c r="B27" s="60" t="inlineStr">
        <is>
          <t>TOTAL IP &amp; DOMAIN BUDGET</t>
        </is>
      </c>
      <c r="C27" s="61" t="n">
        <v>1445</v>
      </c>
      <c r="D27" s="45" t="n">
        <v>6600</v>
      </c>
      <c r="E27" s="61" t="n">
        <v>20420</v>
      </c>
      <c r="F27" s="59" t="inlineStr"/>
      <c r="G27" s="53" t="inlineStr">
        <is>
          <t>Mid scenario is recommended — file trademark + buy .com</t>
        </is>
      </c>
    </row>
    <row r="29">
      <c r="B29" s="62" t="inlineStr">
        <is>
          <t>CFO RECOMMENDATION</t>
        </is>
      </c>
      <c r="C29" s="63" t="n"/>
      <c r="D29" s="63" t="n"/>
      <c r="E29" s="63" t="n"/>
      <c r="F29" s="63" t="n"/>
      <c r="G29" s="63" t="n"/>
    </row>
    <row r="30" ht="22" customHeight="1">
      <c r="B30" s="64" t="inlineStr">
        <is>
          <t>1.  File TEAS Plus trademark NOW for 'VLTD' in Class 42 (software). $350. This protects the brand before any press hits.</t>
        </is>
      </c>
    </row>
    <row r="31" ht="22" customHeight="1">
      <c r="B31" s="64" t="inlineStr">
        <is>
          <t>2.  Negotiate VLTD.com acquisition. Budget $2,500. Start at $500 offer; don't disclose company name or funding status.</t>
        </is>
      </c>
    </row>
    <row r="32" ht="22" customHeight="1">
      <c r="B32" s="64" t="inlineStr">
        <is>
          <t>3.  Form a Delaware C-Corp BEFORE raising money. Stripe Atlas is the fastest path ($500 all-in).</t>
        </is>
      </c>
    </row>
    <row r="33" ht="22" customHeight="1">
      <c r="B33" s="64" t="inlineStr">
        <is>
          <t>4.  Skip international filings until Year 2 revenue justifies the cost (~$3,500+).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34" customWidth="1" min="4" max="4"/>
  </cols>
  <sheetData>
    <row r="2">
      <c r="B2" s="46" t="inlineStr">
        <is>
          <t>VLTD — Pre-Seed Fundraising Summary</t>
        </is>
      </c>
    </row>
    <row r="3">
      <c r="B3" s="13" t="inlineStr">
        <is>
          <t>For investor conversations · All figures modeled — verify before sharing</t>
        </is>
      </c>
    </row>
    <row r="5" ht="20" customHeight="1">
      <c r="B5" s="30" t="inlineStr">
        <is>
          <t>THE ASK</t>
        </is>
      </c>
      <c r="C5" s="15" t="n"/>
      <c r="D5" s="15" t="n"/>
    </row>
    <row r="6" ht="18" customHeight="1">
      <c r="B6" s="65" t="inlineStr">
        <is>
          <t xml:space="preserve">  Raise amount (pre-seed)</t>
        </is>
      </c>
      <c r="C6" s="26" t="n">
        <v>250000</v>
      </c>
      <c r="D6" s="18" t="inlineStr">
        <is>
          <t>SAFE or priced round</t>
        </is>
      </c>
    </row>
    <row r="7" ht="18" customHeight="1">
      <c r="B7" s="66" t="inlineStr">
        <is>
          <t xml:space="preserve">  Pre-money valuation</t>
        </is>
      </c>
      <c r="C7" s="67" t="n">
        <v>1500000</v>
      </c>
      <c r="D7" s="18" t="inlineStr">
        <is>
          <t>5–7× forward ARR; comp to early consumer SaaS</t>
        </is>
      </c>
    </row>
    <row r="8" ht="18" customHeight="1">
      <c r="B8" s="68" t="inlineStr">
        <is>
          <t xml:space="preserve">  Post-money valuation</t>
        </is>
      </c>
      <c r="C8" s="69" t="n">
        <v>1750000</v>
      </c>
      <c r="D8" s="18">
        <f>$1.5M + $250K raise</f>
        <v/>
      </c>
    </row>
    <row r="9" ht="18" customHeight="1">
      <c r="B9" s="66" t="inlineStr">
        <is>
          <t xml:space="preserve">  Equity dilution</t>
        </is>
      </c>
      <c r="C9" s="70" t="n">
        <v>0.143</v>
      </c>
      <c r="D9" s="18">
        <f>$250K / $1.75M</f>
        <v/>
      </c>
    </row>
    <row r="10" ht="18" customHeight="1">
      <c r="B10" s="68" t="inlineStr">
        <is>
          <t xml:space="preserve">  Instrument</t>
        </is>
      </c>
      <c r="C10" s="71" t="inlineStr">
        <is>
          <t>SAFE</t>
        </is>
      </c>
      <c r="D10" s="18" t="inlineStr">
        <is>
          <t>Simple Agreement for Future Equity — fastest to close</t>
        </is>
      </c>
    </row>
    <row r="12" ht="20" customHeight="1">
      <c r="B12" s="30" t="inlineStr">
        <is>
          <t>USE OF FUNDS ($250K)</t>
        </is>
      </c>
      <c r="C12" s="15" t="n"/>
      <c r="D12" s="15" t="n"/>
    </row>
    <row r="13" ht="18" customHeight="1">
      <c r="B13" s="31" t="inlineStr">
        <is>
          <t xml:space="preserve">  Product development (contractor)</t>
        </is>
      </c>
      <c r="C13" s="72" t="n">
        <v>120000</v>
      </c>
      <c r="D13" s="53" t="inlineStr">
        <is>
          <t>48% of raise — 12 months @ $10K/mo — 1 senior eng</t>
        </is>
      </c>
    </row>
    <row r="14" ht="18" customHeight="1">
      <c r="B14" s="34" t="inlineStr">
        <is>
          <t xml:space="preserve">  Infrastructure &amp; ops scaling</t>
        </is>
      </c>
      <c r="C14" s="37" t="n">
        <v>24000</v>
      </c>
      <c r="D14" s="53" t="inlineStr">
        <is>
          <t>10% of raise — Supabase, Vercel, AI APIs — 12 months</t>
        </is>
      </c>
    </row>
    <row r="15" ht="18" customHeight="1">
      <c r="B15" s="31" t="inlineStr">
        <is>
          <t xml:space="preserve">  IP &amp; legal</t>
        </is>
      </c>
      <c r="C15" s="72" t="n">
        <v>7500</v>
      </c>
      <c r="D15" s="53" t="inlineStr">
        <is>
          <t>3% of raise — Trademark + entity formation + counsel</t>
        </is>
      </c>
    </row>
    <row r="16" ht="18" customHeight="1">
      <c r="B16" s="34" t="inlineStr">
        <is>
          <t xml:space="preserve">  Domain acquisition (VLTD.com)</t>
        </is>
      </c>
      <c r="C16" s="37" t="n">
        <v>5000</v>
      </c>
      <c r="D16" s="53" t="inlineStr">
        <is>
          <t>2% of raise — Budget ceiling for negotiation</t>
        </is>
      </c>
    </row>
    <row r="17" ht="18" customHeight="1">
      <c r="B17" s="31" t="inlineStr">
        <is>
          <t xml:space="preserve">  Marketing &amp; content (paid test)</t>
        </is>
      </c>
      <c r="C17" s="72" t="n">
        <v>25000</v>
      </c>
      <c r="D17" s="53" t="inlineStr">
        <is>
          <t>10% of raise — Month 9–12 first paid channel test</t>
        </is>
      </c>
    </row>
    <row r="18" ht="18" customHeight="1">
      <c r="B18" s="34" t="inlineStr">
        <is>
          <t xml:space="preserve">  Founder runway</t>
        </is>
      </c>
      <c r="C18" s="37" t="n">
        <v>50000</v>
      </c>
      <c r="D18" s="53" t="inlineStr">
        <is>
          <t>20% of raise — 12 months personal runway for 1 founder</t>
        </is>
      </c>
    </row>
    <row r="19" ht="18" customHeight="1">
      <c r="B19" s="31" t="inlineStr">
        <is>
          <t xml:space="preserve">  Reserve / buffer</t>
        </is>
      </c>
      <c r="C19" s="72" t="n">
        <v>18500</v>
      </c>
      <c r="D19" s="53" t="inlineStr">
        <is>
          <t>7% of raise — Working capital buffer</t>
        </is>
      </c>
    </row>
    <row r="21" ht="20" customHeight="1">
      <c r="B21" s="30" t="inlineStr">
        <is>
          <t>INVESTOR-READY METRICS (Month 12 Targets)</t>
        </is>
      </c>
      <c r="C21" s="15" t="n"/>
      <c r="D21" s="15" t="n"/>
    </row>
    <row r="22" ht="18" customHeight="1">
      <c r="B22" s="68" t="inlineStr">
        <is>
          <t xml:space="preserve">  Total registered users</t>
        </is>
      </c>
      <c r="C22" s="73" t="n">
        <v>5000</v>
      </c>
      <c r="D22" s="18" t="inlineStr">
        <is>
          <t>Conservative organic — zero paid acquisition</t>
        </is>
      </c>
    </row>
    <row r="23" ht="18" customHeight="1">
      <c r="B23" s="66" t="inlineStr">
        <is>
          <t xml:space="preserve">  Paid subscribers</t>
        </is>
      </c>
      <c r="C23" s="74" t="n">
        <v>200</v>
      </c>
      <c r="D23" s="18" t="inlineStr">
        <is>
          <t>4% conversion of free base</t>
        </is>
      </c>
    </row>
    <row r="24" ht="18" customHeight="1">
      <c r="B24" s="68" t="inlineStr">
        <is>
          <t xml:space="preserve">  MRR at Month 12</t>
        </is>
      </c>
      <c r="C24" s="69" t="n">
        <v>1598</v>
      </c>
      <c r="D24" s="18" t="inlineStr">
        <is>
          <t>200 users × $7.99</t>
        </is>
      </c>
    </row>
    <row r="25" ht="18" customHeight="1">
      <c r="B25" s="65" t="inlineStr">
        <is>
          <t xml:space="preserve">  ARR run rate at Month 12</t>
        </is>
      </c>
      <c r="C25" s="26" t="n">
        <v>19176</v>
      </c>
      <c r="D25" s="18" t="inlineStr">
        <is>
          <t>MRR × 12</t>
        </is>
      </c>
    </row>
    <row r="26" ht="18" customHeight="1">
      <c r="B26" s="68" t="inlineStr">
        <is>
          <t xml:space="preserve">  Monthly OpEx (lean)</t>
        </is>
      </c>
      <c r="C26" s="69" t="n">
        <v>197</v>
      </c>
      <c r="D26" s="18" t="inlineStr">
        <is>
          <t>Infra only — no developer salary</t>
        </is>
      </c>
    </row>
    <row r="27" ht="18" customHeight="1">
      <c r="B27" s="65" t="inlineStr">
        <is>
          <t xml:space="preserve">  Gross margin (infra costs only)</t>
        </is>
      </c>
      <c r="C27" s="24" t="n">
        <v>0.875</v>
      </c>
      <c r="D27" s="18" t="inlineStr">
        <is>
          <t>SaaS benchmark: &gt;70% — VLTD exceeds</t>
        </is>
      </c>
    </row>
    <row r="28" ht="18" customHeight="1">
      <c r="B28" s="68" t="inlineStr">
        <is>
          <t xml:space="preserve">  Months to operational breakeven</t>
        </is>
      </c>
      <c r="C28" s="73" t="n">
        <v>2</v>
      </c>
      <c r="D28" s="18" t="inlineStr">
        <is>
          <t>At $7.99 price — 25 paid users covers OpEx</t>
        </is>
      </c>
    </row>
    <row r="29" ht="18" customHeight="1">
      <c r="B29" s="66" t="inlineStr">
        <is>
          <t xml:space="preserve">  LTV (at 3.5% monthly churn)</t>
        </is>
      </c>
      <c r="C29" s="67" t="n">
        <v>228</v>
      </c>
      <c r="D29" s="18">
        <f> $7.99 × 28.6 months</f>
        <v/>
      </c>
    </row>
    <row r="30" ht="18" customHeight="1">
      <c r="B30" s="65" t="inlineStr">
        <is>
          <t xml:space="preserve">  LTV : CAC (organic)</t>
        </is>
      </c>
      <c r="C30" s="75" t="n">
        <v>45.7</v>
      </c>
      <c r="D30" s="18" t="inlineStr">
        <is>
          <t>Exceptional — organic acquisition only</t>
        </is>
      </c>
    </row>
    <row r="31" ht="18" customHeight="1">
      <c r="B31" s="66" t="inlineStr">
        <is>
          <t xml:space="preserve">  Runway (pre-seed $250K, no revenue)</t>
        </is>
      </c>
      <c r="C31" s="74" t="n">
        <v>1269</v>
      </c>
      <c r="D31" s="18" t="inlineStr">
        <is>
          <t>Days — ~42 months at $197/mo burn</t>
        </is>
      </c>
    </row>
    <row r="33" ht="20" customHeight="1">
      <c r="B33" s="30" t="inlineStr">
        <is>
          <t>VALUATION CONTEXT</t>
        </is>
      </c>
      <c r="C33" s="15" t="n"/>
      <c r="D33" s="15" t="n"/>
    </row>
    <row r="34" ht="18" customHeight="1">
      <c r="B34" s="68" t="inlineStr">
        <is>
          <t xml:space="preserve">  Revenue multiple (forward ARR)</t>
        </is>
      </c>
      <c r="C34" s="71" t="inlineStr">
        <is>
          <t>5–7×</t>
        </is>
      </c>
      <c r="D34" s="18" t="inlineStr">
        <is>
          <t>Early-stage consumer SaaS — below median 10×</t>
        </is>
      </c>
    </row>
    <row r="35" ht="18" customHeight="1">
      <c r="B35" s="66" t="inlineStr">
        <is>
          <t xml:space="preserve">  Comparable: CollX raise (2022)</t>
        </is>
      </c>
      <c r="C35" s="76" t="inlineStr">
        <is>
          <t>$6M Series A</t>
        </is>
      </c>
      <c r="D35" s="18" t="inlineStr">
        <is>
          <t>Single category (sports cards only)</t>
        </is>
      </c>
    </row>
    <row r="36" ht="18" customHeight="1">
      <c r="B36" s="68" t="inlineStr">
        <is>
          <t xml:space="preserve">  Comparable: Shiny raise</t>
        </is>
      </c>
      <c r="C36" s="71" t="inlineStr">
        <is>
          <t>Undisclosed seed</t>
        </is>
      </c>
      <c r="D36" s="18" t="inlineStr">
        <is>
          <t>TCG only</t>
        </is>
      </c>
    </row>
    <row r="37" ht="18" customHeight="1">
      <c r="B37" s="66" t="inlineStr">
        <is>
          <t xml:space="preserve">  VLTD differentiation</t>
        </is>
      </c>
      <c r="C37" s="76" t="inlineStr">
        <is>
          <t>Multi-category</t>
        </is>
      </c>
      <c r="D37" s="18" t="inlineStr">
        <is>
          <t>Only app covering TCG + Sports + Comics + Music + Games + Jewelry</t>
        </is>
      </c>
    </row>
    <row r="38" ht="18" customHeight="1">
      <c r="B38" s="68" t="inlineStr">
        <is>
          <t xml:space="preserve">  TAM (US collectibles market)</t>
        </is>
      </c>
      <c r="C38" s="71" t="inlineStr">
        <is>
          <t>$500B+</t>
        </is>
      </c>
      <c r="D38" s="18" t="inlineStr">
        <is>
          <t>RIAA + CGC + eBay collectibles + PSA estimates</t>
        </is>
      </c>
    </row>
    <row r="40" ht="20" customHeight="1">
      <c r="B40" s="30" t="inlineStr">
        <is>
          <t>MILESTONES THAT UNLOCK SERIES A CONVERSATION</t>
        </is>
      </c>
      <c r="C40" s="15" t="n"/>
      <c r="D40" s="15" t="n"/>
    </row>
    <row r="41" ht="20" customHeight="1">
      <c r="B41" s="64" t="inlineStr">
        <is>
          <t>1.  10,000 registered users (organic — zero paid acquisition)</t>
        </is>
      </c>
    </row>
    <row r="42" ht="20" customHeight="1">
      <c r="B42" s="64" t="inlineStr">
        <is>
          <t>2.  $5,000 MRR ($60K ARR) — ~625 paid users at $7.99</t>
        </is>
      </c>
    </row>
    <row r="43" ht="20" customHeight="1">
      <c r="B43" s="64" t="inlineStr">
        <is>
          <t>3.  Trademark granted and VLTD.com secured</t>
        </is>
      </c>
    </row>
    <row r="44" ht="20" customHeight="1">
      <c r="B44" s="64" t="inlineStr">
        <is>
          <t>4.  3 months consecutive MRR growth &gt; 10%</t>
        </is>
      </c>
    </row>
    <row r="45" ht="20" customHeight="1">
      <c r="B45" s="64" t="inlineStr">
        <is>
          <t>5.  One major press placement (TechCrunch, The Verge, or collector-specific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2026-05-17T08:23:57Z</dcterms:created>
  <dcterms:modified xmlns:dcterms="http://purl.org/dc/terms/" xmlns:xsi="http://www.w3.org/2001/XMLSchema-instance" xsi:type="dcterms:W3CDTF">2026-05-17T08:23:58Z</dcterms:modified>
</cp:coreProperties>
</file>